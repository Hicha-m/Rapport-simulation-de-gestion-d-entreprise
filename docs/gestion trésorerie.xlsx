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Users\PCH\Downloads\"/>
    </mc:Choice>
  </mc:AlternateContent>
  <xr:revisionPtr revIDLastSave="0" documentId="8_{A71567EE-5052-4E3D-927F-0FC4433DFEF7}" xr6:coauthVersionLast="47" xr6:coauthVersionMax="47" xr10:uidLastSave="{00000000-0000-0000-0000-000000000000}"/>
  <bookViews>
    <workbookView xWindow="-120" yWindow="-120" windowWidth="29040" windowHeight="15720" firstSheet="7" activeTab="9" xr2:uid="{00000000-000D-0000-FFFF-FFFF00000000}"/>
  </bookViews>
  <sheets>
    <sheet name="DECISION" sheetId="1" r:id="rId1"/>
    <sheet name="RESULTAT" sheetId="2" r:id="rId2"/>
    <sheet name="ouvrier" sheetId="3" r:id="rId3"/>
    <sheet name="Ajouts" sheetId="17" r:id="rId4"/>
    <sheet name="Totaux_Par_Type" sheetId="18" r:id="rId5"/>
    <sheet name="Param_Machines" sheetId="5" r:id="rId6"/>
    <sheet name="Parc_Machines" sheetId="6" r:id="rId7"/>
    <sheet name="Capacité_Période" sheetId="7" r:id="rId8"/>
    <sheet name="P2" sheetId="9" r:id="rId9"/>
    <sheet name="P1" sheetId="10" r:id="rId10"/>
    <sheet name="Trésorerie P1" sheetId="11" r:id="rId11"/>
    <sheet name="Trésorie previsionnelle P3" sheetId="12" r:id="rId12"/>
    <sheet name="Trésorerie P4" sheetId="13" r:id="rId13"/>
    <sheet name="Trésorerie P5" sheetId="14" r:id="rId14"/>
    <sheet name="Trésorerie P6" sheetId="15" r:id="rId15"/>
    <sheet name="Trésorerie P7" sheetId="16" r:id="rId16"/>
    <sheet name="Param_MP" sheetId="26" r:id="rId17"/>
    <sheet name="Param_Produits" sheetId="27" r:id="rId18"/>
    <sheet name="BOM_Produits" sheetId="29" r:id="rId19"/>
    <sheet name="Prix_MP" sheetId="31" r:id="rId20"/>
    <sheet name="Mix_MP" sheetId="32" r:id="rId21"/>
    <sheet name="Plan_Production" sheetId="33" r:id="rId22"/>
    <sheet name="Besoins_Quantités" sheetId="34" r:id="rId23"/>
    <sheet name="calcul" sheetId="8" r:id="rId24"/>
    <sheet name="Besoins_Coûts" sheetId="38" r:id="rId25"/>
    <sheet name="PARAMETRES_GENERAUX" sheetId="36" r:id="rId26"/>
  </sheets>
  <definedNames>
    <definedName name="_xlcn.WorksheetConnection_Besoins_QuantitésA1M51" hidden="1">Besoins_Quantités!$A$1:$M$5</definedName>
    <definedName name="_xlcn.WorksheetConnection_gestiontrésorerie.xlsxAjouts1" hidden="1">Ajouts[]</definedName>
    <definedName name="_xlcn.WorksheetConnection_gestiontrésorerie.xlsxTblParam_Machines1" hidden="1">TblParam_Machines[]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lage" name="Plage" connection="WorksheetConnection_Besoins_Quantités!$A$1:$M$5"/>
          <x15:modelTable id="Ajouts" name="Ajouts" connection="WorksheetConnection_gestion trésorerie.xlsx!Ajouts"/>
          <x15:modelTable id="TblParam_Machines" name="TblParam_Machines" connection="WorksheetConnection_gestion trésorerie.xlsx!TblParam_Machin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4" l="1" a="1"/>
  <c r="B4" i="34" s="1"/>
  <c r="A2" i="32" a="1"/>
  <c r="A2" i="32" s="1"/>
  <c r="B1" i="32" a="1"/>
  <c r="B1" i="32" s="1"/>
  <c r="A7" i="31" a="1"/>
  <c r="A7" i="31" s="1"/>
  <c r="B6" i="31" a="1"/>
  <c r="B6" i="31" s="1"/>
  <c r="A2" i="31" a="1"/>
  <c r="A2" i="31" s="1"/>
  <c r="B1" i="31" a="1"/>
  <c r="B1" i="31" s="1"/>
  <c r="A3" i="38" a="1"/>
  <c r="A3" i="38" s="1"/>
  <c r="B1" i="38" a="1"/>
  <c r="B1" i="38" s="1"/>
  <c r="A3" i="34" a="1"/>
  <c r="B1" i="34" a="1"/>
  <c r="B1" i="34" s="1"/>
  <c r="A2" i="33" a="1"/>
  <c r="A2" i="33" s="1"/>
  <c r="B1" i="33" a="1"/>
  <c r="B1" i="33" s="1"/>
  <c r="A2" i="29" a="1"/>
  <c r="A2" i="29" s="1"/>
  <c r="A3" i="18" a="1"/>
  <c r="A3" i="18" s="1"/>
  <c r="A31" i="8"/>
  <c r="A32" i="8"/>
  <c r="A2" i="6" a="1"/>
  <c r="A2" i="6" s="1"/>
  <c r="D2" i="7" s="1" a="1"/>
  <c r="D2" i="7" s="1"/>
  <c r="AB1" i="8"/>
  <c r="G17" i="16"/>
  <c r="E13" i="16"/>
  <c r="E11" i="16"/>
  <c r="E10" i="16"/>
  <c r="B9" i="16"/>
  <c r="B11" i="16" s="1"/>
  <c r="A14" i="16" s="1"/>
  <c r="E7" i="16"/>
  <c r="F6" i="16"/>
  <c r="E6" i="16"/>
  <c r="E5" i="16"/>
  <c r="E16" i="16" s="1"/>
  <c r="G17" i="15"/>
  <c r="E13" i="15"/>
  <c r="D15" i="15" s="1"/>
  <c r="F11" i="15"/>
  <c r="E11" i="15"/>
  <c r="B11" i="15"/>
  <c r="A14" i="15" s="1"/>
  <c r="E10" i="15"/>
  <c r="B9" i="15"/>
  <c r="E7" i="15"/>
  <c r="F6" i="15"/>
  <c r="E6" i="15"/>
  <c r="E5" i="15"/>
  <c r="E16" i="15" s="1"/>
  <c r="D17" i="14"/>
  <c r="E11" i="14"/>
  <c r="E10" i="14"/>
  <c r="B9" i="14"/>
  <c r="B11" i="14" s="1"/>
  <c r="E7" i="14"/>
  <c r="F6" i="14"/>
  <c r="E6" i="14"/>
  <c r="E5" i="14"/>
  <c r="E13" i="14" s="1"/>
  <c r="G12" i="13"/>
  <c r="E11" i="13"/>
  <c r="E10" i="13"/>
  <c r="B9" i="13"/>
  <c r="B11" i="13" s="1"/>
  <c r="A14" i="13" s="1"/>
  <c r="E7" i="13"/>
  <c r="F6" i="13"/>
  <c r="E6" i="13"/>
  <c r="J5" i="13"/>
  <c r="E5" i="13"/>
  <c r="E13" i="13" s="1"/>
  <c r="E13" i="12"/>
  <c r="B11" i="12"/>
  <c r="A14" i="12" s="1"/>
  <c r="E13" i="11"/>
  <c r="B11" i="11"/>
  <c r="N3" i="10"/>
  <c r="C2" i="10"/>
  <c r="A7" i="10" s="1"/>
  <c r="N27" i="9"/>
  <c r="C26" i="9"/>
  <c r="A31" i="9" s="1"/>
  <c r="A15" i="9"/>
  <c r="E13" i="9"/>
  <c r="B12" i="9"/>
  <c r="D47" i="8"/>
  <c r="F47" i="8" s="1"/>
  <c r="D46" i="8"/>
  <c r="D45" i="8"/>
  <c r="I28" i="8"/>
  <c r="H28" i="8"/>
  <c r="F28" i="8"/>
  <c r="M28" i="8" s="1"/>
  <c r="T28" i="8" s="1"/>
  <c r="E28" i="8"/>
  <c r="C28" i="8"/>
  <c r="B28" i="8"/>
  <c r="L28" i="8" s="1"/>
  <c r="I27" i="8"/>
  <c r="H27" i="8"/>
  <c r="F27" i="8"/>
  <c r="M27" i="8" s="1"/>
  <c r="T27" i="8" s="1"/>
  <c r="E27" i="8"/>
  <c r="L27" i="8" s="1"/>
  <c r="C27" i="8"/>
  <c r="B27" i="8"/>
  <c r="I26" i="8"/>
  <c r="H26" i="8"/>
  <c r="F26" i="8"/>
  <c r="E26" i="8"/>
  <c r="L26" i="8" s="1"/>
  <c r="C26" i="8"/>
  <c r="M26" i="8" s="1"/>
  <c r="T26" i="8" s="1"/>
  <c r="B26" i="8"/>
  <c r="I25" i="8"/>
  <c r="H25" i="8"/>
  <c r="F25" i="8"/>
  <c r="E25" i="8"/>
  <c r="C25" i="8"/>
  <c r="M25" i="8" s="1"/>
  <c r="T25" i="8" s="1"/>
  <c r="B25" i="8"/>
  <c r="L25" i="8" s="1"/>
  <c r="I24" i="8"/>
  <c r="H24" i="8"/>
  <c r="F24" i="8"/>
  <c r="M24" i="8" s="1"/>
  <c r="T24" i="8" s="1"/>
  <c r="E24" i="8"/>
  <c r="C24" i="8"/>
  <c r="B24" i="8"/>
  <c r="L24" i="8" s="1"/>
  <c r="I23" i="8"/>
  <c r="H23" i="8"/>
  <c r="F23" i="8"/>
  <c r="M23" i="8" s="1"/>
  <c r="T23" i="8" s="1"/>
  <c r="E23" i="8"/>
  <c r="L23" i="8" s="1"/>
  <c r="C23" i="8"/>
  <c r="B23" i="8"/>
  <c r="B17" i="8"/>
  <c r="B16" i="8"/>
  <c r="B15" i="8"/>
  <c r="C11" i="8"/>
  <c r="C10" i="8"/>
  <c r="C9" i="3"/>
  <c r="C7" i="3"/>
  <c r="C6" i="3" s="1"/>
  <c r="I5" i="3"/>
  <c r="G5" i="3"/>
  <c r="F5" i="3"/>
  <c r="E5" i="3" s="1"/>
  <c r="G4" i="3"/>
  <c r="H4" i="3" s="1"/>
  <c r="I4" i="3" s="1"/>
  <c r="E4" i="3"/>
  <c r="C4" i="3"/>
  <c r="H3" i="3"/>
  <c r="I3" i="3" s="1"/>
  <c r="A3" i="34" l="1"/>
  <c r="J4" i="34" a="1"/>
  <c r="J4" i="34" s="1"/>
  <c r="F4" i="34" a="1"/>
  <c r="F4" i="34" s="1"/>
  <c r="F4" i="38" s="1" a="1"/>
  <c r="F4" i="38" s="1"/>
  <c r="M4" i="34" a="1"/>
  <c r="M4" i="34" s="1"/>
  <c r="M4" i="38" s="1" a="1"/>
  <c r="M4" i="38" s="1"/>
  <c r="E4" i="34" a="1"/>
  <c r="E4" i="34" s="1"/>
  <c r="B4" i="38" a="1"/>
  <c r="B4" i="38" s="1"/>
  <c r="G4" i="34" a="1"/>
  <c r="G4" i="34" s="1"/>
  <c r="G4" i="38" s="1" a="1"/>
  <c r="G4" i="38" s="1"/>
  <c r="D4" i="34" a="1"/>
  <c r="D4" i="34" s="1"/>
  <c r="D4" i="38" s="1" a="1"/>
  <c r="D4" i="38" s="1"/>
  <c r="H4" i="34" a="1"/>
  <c r="H4" i="34" s="1"/>
  <c r="L4" i="34" a="1"/>
  <c r="L4" i="34" s="1"/>
  <c r="L4" i="38" s="1" a="1"/>
  <c r="L4" i="38" s="1"/>
  <c r="C4" i="34" a="1"/>
  <c r="C4" i="34" s="1"/>
  <c r="C4" i="38" s="1" a="1"/>
  <c r="C4" i="38" s="1"/>
  <c r="K4" i="34" a="1"/>
  <c r="K4" i="34" s="1"/>
  <c r="K4" i="38" s="1" a="1"/>
  <c r="K4" i="38" s="1"/>
  <c r="I4" i="34" a="1"/>
  <c r="I4" i="34" s="1"/>
  <c r="I4" i="38" a="1"/>
  <c r="I4" i="38" s="1"/>
  <c r="E4" i="38" a="1"/>
  <c r="E4" i="38" s="1"/>
  <c r="J4" i="38" a="1"/>
  <c r="J4" i="38" s="1"/>
  <c r="H4" i="38" a="1"/>
  <c r="H4" i="38" s="1"/>
  <c r="K2" i="7" a="1"/>
  <c r="K2" i="7" s="1"/>
  <c r="C2" i="7" a="1"/>
  <c r="C2" i="7" s="1"/>
  <c r="B2" i="7" a="1"/>
  <c r="B2" i="7" s="1"/>
  <c r="J2" i="7" a="1"/>
  <c r="J2" i="7" s="1"/>
  <c r="F2" i="7" a="1"/>
  <c r="F2" i="7" s="1"/>
  <c r="A2" i="7" a="1"/>
  <c r="A2" i="7" s="1"/>
  <c r="G2" i="7" a="1"/>
  <c r="G2" i="7" s="1"/>
  <c r="M2" i="7" a="1"/>
  <c r="M2" i="7" s="1"/>
  <c r="I2" i="7" a="1"/>
  <c r="I2" i="7" s="1"/>
  <c r="E2" i="7" a="1"/>
  <c r="E2" i="7" s="1"/>
  <c r="L2" i="7" a="1"/>
  <c r="L2" i="7" s="1"/>
  <c r="H2" i="7" a="1"/>
  <c r="H2" i="7" s="1"/>
  <c r="N24" i="8"/>
  <c r="S24" i="8"/>
  <c r="A14" i="14"/>
  <c r="S23" i="8"/>
  <c r="N23" i="8"/>
  <c r="S27" i="8"/>
  <c r="N27" i="8"/>
  <c r="S28" i="8"/>
  <c r="N28" i="8"/>
  <c r="S25" i="8"/>
  <c r="N25" i="8"/>
  <c r="N26" i="8"/>
  <c r="S26" i="8"/>
  <c r="K3" i="34" l="1" a="1"/>
  <c r="K3" i="34" s="1"/>
  <c r="H3" i="34" a="1"/>
  <c r="H3" i="34" s="1"/>
  <c r="D3" i="34" a="1"/>
  <c r="D3" i="34" s="1"/>
  <c r="G3" i="34" a="1"/>
  <c r="G3" i="34" s="1"/>
  <c r="J3" i="34" a="1"/>
  <c r="J3" i="34" s="1"/>
  <c r="C3" i="34" a="1"/>
  <c r="C3" i="34" s="1"/>
  <c r="E3" i="34" a="1"/>
  <c r="E3" i="34" s="1"/>
  <c r="M3" i="34" a="1"/>
  <c r="M3" i="34" s="1"/>
  <c r="I3" i="34" a="1"/>
  <c r="I3" i="34" s="1"/>
  <c r="F3" i="34" a="1"/>
  <c r="F3" i="34" s="1"/>
  <c r="B3" i="34" a="1"/>
  <c r="B3" i="34" s="1"/>
  <c r="L3" i="34" a="1"/>
  <c r="L3" i="34" s="1"/>
  <c r="L3" i="18" a="1"/>
  <c r="H3" i="18" a="1"/>
  <c r="D3" i="18" a="1"/>
  <c r="B3" i="18" a="1"/>
  <c r="M3" i="18" a="1"/>
  <c r="E3" i="18" a="1"/>
  <c r="K3" i="18" a="1"/>
  <c r="G3" i="18" a="1"/>
  <c r="C3" i="18" a="1"/>
  <c r="J3" i="18" a="1"/>
  <c r="F3" i="18" a="1"/>
  <c r="I3" i="18" a="1"/>
  <c r="I2" i="34" l="1"/>
  <c r="I3" i="38" a="1"/>
  <c r="I3" i="38" s="1"/>
  <c r="I2" i="38" s="1"/>
  <c r="J2" i="34"/>
  <c r="J3" i="38" a="1"/>
  <c r="J3" i="38" s="1"/>
  <c r="J2" i="38" s="1"/>
  <c r="L2" i="34"/>
  <c r="L3" i="38" a="1"/>
  <c r="L3" i="38" s="1"/>
  <c r="L2" i="38" s="1"/>
  <c r="M2" i="34"/>
  <c r="M3" i="38" a="1"/>
  <c r="M3" i="38" s="1"/>
  <c r="M2" i="38" s="1"/>
  <c r="G2" i="34"/>
  <c r="G3" i="38" a="1"/>
  <c r="G3" i="38" s="1"/>
  <c r="G2" i="38" s="1"/>
  <c r="B2" i="34"/>
  <c r="B3" i="38" a="1"/>
  <c r="B3" i="38" s="1"/>
  <c r="B2" i="38" s="1"/>
  <c r="E2" i="34"/>
  <c r="E3" i="38" a="1"/>
  <c r="E3" i="38" s="1"/>
  <c r="E2" i="38" s="1"/>
  <c r="D2" i="34"/>
  <c r="D3" i="38" a="1"/>
  <c r="D3" i="38" s="1"/>
  <c r="D2" i="38" s="1"/>
  <c r="F2" i="34"/>
  <c r="F3" i="38" a="1"/>
  <c r="F3" i="38" s="1"/>
  <c r="F2" i="38" s="1"/>
  <c r="C2" i="34"/>
  <c r="C3" i="38" a="1"/>
  <c r="C3" i="38" s="1"/>
  <c r="C2" i="38" s="1"/>
  <c r="H2" i="34"/>
  <c r="H3" i="38" a="1"/>
  <c r="H3" i="38" s="1"/>
  <c r="H2" i="38" s="1"/>
  <c r="K2" i="34"/>
  <c r="K3" i="38" a="1"/>
  <c r="K3" i="38" s="1"/>
  <c r="K2" i="38" s="1"/>
  <c r="I3" i="18"/>
  <c r="I2" i="18" s="1"/>
  <c r="G3" i="18"/>
  <c r="G2" i="18" s="1"/>
  <c r="B3" i="18"/>
  <c r="B2" i="18" s="1"/>
  <c r="K3" i="18"/>
  <c r="K2" i="18" s="1"/>
  <c r="D3" i="18"/>
  <c r="D2" i="18"/>
  <c r="F3" i="18"/>
  <c r="F2" i="18" s="1"/>
  <c r="J3" i="18"/>
  <c r="J2" i="18" s="1"/>
  <c r="E3" i="18"/>
  <c r="E2" i="18" s="1"/>
  <c r="H3" i="18"/>
  <c r="H2" i="18" s="1"/>
  <c r="C3" i="18"/>
  <c r="C2" i="18" s="1"/>
  <c r="M3" i="18"/>
  <c r="M2" i="18" s="1"/>
  <c r="L3" i="18"/>
  <c r="L2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464449-FCA7-41D2-81E8-7389955419F6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B747A68-F26B-43DD-8822-5A063D6EC4CB}" name="WorksheetConnection_Besoins_Quantités!$A$1:$M$5" type="102" refreshedVersion="8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Besoins_QuantitésA1M51"/>
        </x15:connection>
      </ext>
    </extLst>
  </connection>
  <connection id="3" xr16:uid="{39972F10-8CCC-4D31-8F8F-2F308296A5D9}" name="WorksheetConnection_gestion trésorerie.xlsx!Ajouts" type="102" refreshedVersion="8" minRefreshableVersion="5">
    <extLst>
      <ext xmlns:x15="http://schemas.microsoft.com/office/spreadsheetml/2010/11/main" uri="{DE250136-89BD-433C-8126-D09CA5730AF9}">
        <x15:connection id="Ajouts">
          <x15:rangePr sourceName="_xlcn.WorksheetConnection_gestiontrésorerie.xlsxAjouts1"/>
        </x15:connection>
      </ext>
    </extLst>
  </connection>
  <connection id="4" xr16:uid="{C514B004-E681-4DB8-906E-2149943F7E03}" name="WorksheetConnection_gestion trésorerie.xlsx!TblParam_Machines" type="102" refreshedVersion="8" minRefreshableVersion="5">
    <extLst>
      <ext xmlns:x15="http://schemas.microsoft.com/office/spreadsheetml/2010/11/main" uri="{DE250136-89BD-433C-8126-D09CA5730AF9}">
        <x15:connection id="TblParam_Machines">
          <x15:rangePr sourceName="_xlcn.WorksheetConnection_gestiontrésorerie.xlsxTblParam_Machine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<sst xmlns="http://schemas.openxmlformats.org/spreadsheetml/2006/main" count="1279" uniqueCount="547">
  <si>
    <t>ARIANE II : Polytech Gombert 2026 / U07</t>
  </si>
  <si>
    <t>DECISIONS Firme 3</t>
  </si>
  <si>
    <t>2/22/2026 12:40:46 PM</t>
  </si>
  <si>
    <t>Périodes</t>
  </si>
  <si>
    <t>PRODUITS / ski Elite</t>
  </si>
  <si>
    <t>D032</t>
  </si>
  <si>
    <t>Prix</t>
  </si>
  <si>
    <t>200.00</t>
  </si>
  <si>
    <t>250.00</t>
  </si>
  <si>
    <t>240.00</t>
  </si>
  <si>
    <t>260.00</t>
  </si>
  <si>
    <t>D033</t>
  </si>
  <si>
    <t>Production (KU)</t>
  </si>
  <si>
    <t>D034</t>
  </si>
  <si>
    <t>Publicité (K€)</t>
  </si>
  <si>
    <t>ski 2000</t>
  </si>
  <si>
    <t>D039</t>
  </si>
  <si>
    <t>0.00</t>
  </si>
  <si>
    <t>170.00</t>
  </si>
  <si>
    <t>190.00</t>
  </si>
  <si>
    <t>210.00</t>
  </si>
  <si>
    <t>D040</t>
  </si>
  <si>
    <t>D041</t>
  </si>
  <si>
    <t>D042</t>
  </si>
  <si>
    <t>Qualité (0 … 100)</t>
  </si>
  <si>
    <t>Raquette +</t>
  </si>
  <si>
    <t>D053</t>
  </si>
  <si>
    <t>80.00</t>
  </si>
  <si>
    <t>169.00</t>
  </si>
  <si>
    <t>D054</t>
  </si>
  <si>
    <t>D055</t>
  </si>
  <si>
    <t>ETUDES DE MARCHE</t>
  </si>
  <si>
    <t>D024</t>
  </si>
  <si>
    <t>Etude Marché / ski (O/N)</t>
  </si>
  <si>
    <t>-N-</t>
  </si>
  <si>
    <t>OUI</t>
  </si>
  <si>
    <t>D025</t>
  </si>
  <si>
    <t>Etude Marché / raquette (O/N)</t>
  </si>
  <si>
    <t>D091</t>
  </si>
  <si>
    <t>Comptabilité Analytique (O/N)</t>
  </si>
  <si>
    <t>PRODUCTION</t>
  </si>
  <si>
    <t>D013</t>
  </si>
  <si>
    <t>Recherche et Dev. (K€)</t>
  </si>
  <si>
    <t>D016</t>
  </si>
  <si>
    <t>Achat/Vente machines MX (Nb)</t>
  </si>
  <si>
    <t>D017</t>
  </si>
  <si>
    <t>Achat machines MY (Nb)</t>
  </si>
  <si>
    <t>Approvisionnement</t>
  </si>
  <si>
    <t>D084</t>
  </si>
  <si>
    <t>Pour le fournisseur (1-6)</t>
  </si>
  <si>
    <t>D051</t>
  </si>
  <si>
    <t>Delai paiement (Nb Mois)(0-2)</t>
  </si>
  <si>
    <t>D014</t>
  </si>
  <si>
    <t>Achats Mat.Prem.Fibre (KU)</t>
  </si>
  <si>
    <t>D094</t>
  </si>
  <si>
    <t>% Fibre recyclée (0-100)</t>
  </si>
  <si>
    <t>D015</t>
  </si>
  <si>
    <t>Achats Mat.Prem.Résine (KU)</t>
  </si>
  <si>
    <t>D095</t>
  </si>
  <si>
    <t>% Resine recyclée (0-100)</t>
  </si>
  <si>
    <t>D085</t>
  </si>
  <si>
    <t>D052</t>
  </si>
  <si>
    <t>D064</t>
  </si>
  <si>
    <t>D066</t>
  </si>
  <si>
    <t>D065</t>
  </si>
  <si>
    <t>D067</t>
  </si>
  <si>
    <t>RESSOURCES HUMAINES</t>
  </si>
  <si>
    <t>D018</t>
  </si>
  <si>
    <t>Embauche/Licenc.Ouvriers (Nb)</t>
  </si>
  <si>
    <t>D019</t>
  </si>
  <si>
    <t>Embauche/Licenc.Vendeurs (Nb)</t>
  </si>
  <si>
    <t>FINANCES</t>
  </si>
  <si>
    <t>D020</t>
  </si>
  <si>
    <t>Emprunt C.T.demandé (K€)</t>
  </si>
  <si>
    <t>D021</t>
  </si>
  <si>
    <t>Emprunt L.T.demandé (K€)</t>
  </si>
  <si>
    <t>D022</t>
  </si>
  <si>
    <t>Effets Escomptés (% du C.A.)</t>
  </si>
  <si>
    <t>30.00</t>
  </si>
  <si>
    <t>2.00</t>
  </si>
  <si>
    <t>6.00</t>
  </si>
  <si>
    <t>D028</t>
  </si>
  <si>
    <t>Dividendes distribués (K€)</t>
  </si>
  <si>
    <t>PREVISIONS</t>
  </si>
  <si>
    <t>D086</t>
  </si>
  <si>
    <t>Prévision CA HT (K€)</t>
  </si>
  <si>
    <t>D087</t>
  </si>
  <si>
    <t>Pévision Bénéfice (K€)</t>
  </si>
  <si>
    <t>D088</t>
  </si>
  <si>
    <t>Prévision Encaissem. (K€)</t>
  </si>
  <si>
    <t>D089</t>
  </si>
  <si>
    <t>Prévision Décaissem. (K€)</t>
  </si>
  <si>
    <t>RSE</t>
  </si>
  <si>
    <t>D092</t>
  </si>
  <si>
    <t>Prod. éco-responsable (k€)</t>
  </si>
  <si>
    <t>D093</t>
  </si>
  <si>
    <t>Qual. Vie au Travail (k€)</t>
  </si>
  <si>
    <t>D096</t>
  </si>
  <si>
    <t>Demande Certification (O/N)</t>
  </si>
  <si>
    <t>Contrats Manuels MP</t>
  </si>
  <si>
    <t>Appel d'Offre Ski Elite</t>
  </si>
  <si>
    <t>RESULTATS des FIRMES Firme 3</t>
  </si>
  <si>
    <t>2/22/2026 12:40:47 PM</t>
  </si>
  <si>
    <t>PRODUITS</t>
  </si>
  <si>
    <t>Ventes</t>
  </si>
  <si>
    <t>COUT DE PRODUCTION DES PRODUITS</t>
  </si>
  <si>
    <t>Consommation Matières Premièr</t>
  </si>
  <si>
    <t>Main d'oeuvre de production</t>
  </si>
  <si>
    <t>Salaires Ouvriers</t>
  </si>
  <si>
    <t>Heures Supplémentaires ouvrie</t>
  </si>
  <si>
    <t>Embauche/Licenciement</t>
  </si>
  <si>
    <t>Intérimaires</t>
  </si>
  <si>
    <t>Agents de Maîtrise</t>
  </si>
  <si>
    <t>Coûts Variables de Production</t>
  </si>
  <si>
    <t>Recherche et Développement</t>
  </si>
  <si>
    <t>Dotation aux Amortissements</t>
  </si>
  <si>
    <t>"+/- VARIATION STOCKS PRODUITS"</t>
  </si>
  <si>
    <t>MARGE BRUTE</t>
  </si>
  <si>
    <t>COUTS COMMERCIAUX</t>
  </si>
  <si>
    <t>Salaires Vendeurs + Embauche/</t>
  </si>
  <si>
    <t>Salaires Cadres</t>
  </si>
  <si>
    <t>Frais de Vente</t>
  </si>
  <si>
    <t>Publicité</t>
  </si>
  <si>
    <t>CHARGES ADMINISTRATIVES</t>
  </si>
  <si>
    <t>Salaires Administratifs</t>
  </si>
  <si>
    <t>Frais de Gestion</t>
  </si>
  <si>
    <t>Frais Financiers</t>
  </si>
  <si>
    <t>est-ce que R&amp;D rentable si on baisse CVP</t>
  </si>
  <si>
    <t>Autres Charges / Produits</t>
  </si>
  <si>
    <t>RESULTAT OPERATIONNEL</t>
  </si>
  <si>
    <t>"+/- Value sur cessions d'acti"</t>
  </si>
  <si>
    <t>Impôts</t>
  </si>
  <si>
    <t>Retour d'impôts</t>
  </si>
  <si>
    <t>RESULTAT NET AVANT AFFECTATIO</t>
  </si>
  <si>
    <t>Dividendes</t>
  </si>
  <si>
    <t>RESULTAT NET MIS EN RESERVES</t>
  </si>
  <si>
    <t>Bilan</t>
  </si>
  <si>
    <t>Machines MX</t>
  </si>
  <si>
    <t>Machines MY</t>
  </si>
  <si>
    <t>Stocks Matières Premières</t>
  </si>
  <si>
    <t>Stocks Produits Finis</t>
  </si>
  <si>
    <t>Créances clients</t>
  </si>
  <si>
    <t>Trésorerie</t>
  </si>
  <si>
    <t>TOTAL</t>
  </si>
  <si>
    <t>CAPITAUX PROPRES</t>
  </si>
  <si>
    <t>Capital Social</t>
  </si>
  <si>
    <t>Primes d'émission</t>
  </si>
  <si>
    <t>Réserves</t>
  </si>
  <si>
    <t>Résultat net de la période</t>
  </si>
  <si>
    <t>DETTES A LONG ET MOYEN TERME</t>
  </si>
  <si>
    <t>Dettes Fournisseurs M.P.</t>
  </si>
  <si>
    <t>Emprunts et Découvert</t>
  </si>
  <si>
    <t>Créances clients T-1</t>
  </si>
  <si>
    <t>Effets Escomptés</t>
  </si>
  <si>
    <t>Emprunts</t>
  </si>
  <si>
    <t>Découvert</t>
  </si>
  <si>
    <t>Vente machines MX</t>
  </si>
  <si>
    <t>Retour Impôt</t>
  </si>
  <si>
    <t>Ventes Bons de Caisse</t>
  </si>
  <si>
    <t>Produits Financiers</t>
  </si>
  <si>
    <t>Autres encaissements</t>
  </si>
  <si>
    <t>Total Encaissements</t>
  </si>
  <si>
    <t>Fournisseurs</t>
  </si>
  <si>
    <t>Emprunts+Découvert</t>
  </si>
  <si>
    <t>Frais de Personnel</t>
  </si>
  <si>
    <t>Coûts Var. Prod.+R&amp;D+Eco</t>
  </si>
  <si>
    <t>Frais de vente + Publicité</t>
  </si>
  <si>
    <t>Achats Bons de Caisse</t>
  </si>
  <si>
    <t>Total Décaissements</t>
  </si>
  <si>
    <t>Variation de l'encaisse</t>
  </si>
  <si>
    <t>ETAT des STOCKS</t>
  </si>
  <si>
    <t>Stock Initial</t>
  </si>
  <si>
    <t>Achats</t>
  </si>
  <si>
    <t>Consommat.</t>
  </si>
  <si>
    <t>Stock Final</t>
  </si>
  <si>
    <t>MP Fibre (Valeur)</t>
  </si>
  <si>
    <t>MP Résine (Unités)</t>
  </si>
  <si>
    <t>MP Résine (Valeur)</t>
  </si>
  <si>
    <t>Ski Elite (Unités)</t>
  </si>
  <si>
    <t>Production</t>
  </si>
  <si>
    <t>Ski Elite (Valeurs)</t>
  </si>
  <si>
    <t>Ski 2000 (Unités)</t>
  </si>
  <si>
    <t>Ski 2000 (Valeurs)</t>
  </si>
  <si>
    <t>Racket + (Unités)</t>
  </si>
  <si>
    <t>Racket + (Valeurs)</t>
  </si>
  <si>
    <t>INFOS</t>
  </si>
  <si>
    <t>R.O.E. (Rentabilité des Fonds</t>
  </si>
  <si>
    <t>2.36</t>
  </si>
  <si>
    <t>11.30</t>
  </si>
  <si>
    <t>3.97</t>
  </si>
  <si>
    <t>0.09</t>
  </si>
  <si>
    <t>2.85</t>
  </si>
  <si>
    <t>1.31</t>
  </si>
  <si>
    <t>7.14</t>
  </si>
  <si>
    <t>2.77</t>
  </si>
  <si>
    <t>16.54</t>
  </si>
  <si>
    <t>R.O.A. (Rentabilité des Resso</t>
  </si>
  <si>
    <t>1.15</t>
  </si>
  <si>
    <t>6.68</t>
  </si>
  <si>
    <t>0.07</t>
  </si>
  <si>
    <t>2.34</t>
  </si>
  <si>
    <t>0.99</t>
  </si>
  <si>
    <t>4.89</t>
  </si>
  <si>
    <t>2.41</t>
  </si>
  <si>
    <t>10.46</t>
  </si>
  <si>
    <t>E.P.S. (Résultat Net par Acti</t>
  </si>
  <si>
    <t>2.73</t>
  </si>
  <si>
    <t>13.39</t>
  </si>
  <si>
    <t>5.24</t>
  </si>
  <si>
    <t>0.12</t>
  </si>
  <si>
    <t>3.92</t>
  </si>
  <si>
    <t>1.85</t>
  </si>
  <si>
    <t>10.21</t>
  </si>
  <si>
    <t>4.25</t>
  </si>
  <si>
    <t>4.48</t>
  </si>
  <si>
    <t>26.78</t>
  </si>
  <si>
    <t>Fonds de Roulement</t>
  </si>
  <si>
    <t>Besoin en Fonds de Roulement</t>
  </si>
  <si>
    <t>INDICATEURS RSE</t>
  </si>
  <si>
    <t>Prod. Eco Resp. (€)</t>
  </si>
  <si>
    <t>2000000.00</t>
  </si>
  <si>
    <t>Note Prod. Eco Resp. (0..1)</t>
  </si>
  <si>
    <t>0.30</t>
  </si>
  <si>
    <t>0.55</t>
  </si>
  <si>
    <t>0.51</t>
  </si>
  <si>
    <t>0.46</t>
  </si>
  <si>
    <t>0.44</t>
  </si>
  <si>
    <t>Invest. QVT (€)</t>
  </si>
  <si>
    <t>Note QVT (0..1)</t>
  </si>
  <si>
    <t>0.37</t>
  </si>
  <si>
    <t>0.54</t>
  </si>
  <si>
    <t>0.62</t>
  </si>
  <si>
    <t>0.66</t>
  </si>
  <si>
    <t>0.68</t>
  </si>
  <si>
    <t>Note MP Recyclees (0..1)</t>
  </si>
  <si>
    <t>0.02</t>
  </si>
  <si>
    <t>0.04</t>
  </si>
  <si>
    <t>0.05</t>
  </si>
  <si>
    <t>Note Climat Social periode co</t>
  </si>
  <si>
    <t>0.50</t>
  </si>
  <si>
    <t>0.75</t>
  </si>
  <si>
    <t>0.88</t>
  </si>
  <si>
    <t>1.00</t>
  </si>
  <si>
    <t>0.76</t>
  </si>
  <si>
    <t>0.70</t>
  </si>
  <si>
    <t>0.60</t>
  </si>
  <si>
    <t>Note RSE Global (0..1)</t>
  </si>
  <si>
    <t>0.14</t>
  </si>
  <si>
    <t>0.16</t>
  </si>
  <si>
    <t>0.41</t>
  </si>
  <si>
    <t>0.52</t>
  </si>
  <si>
    <t>0.49</t>
  </si>
  <si>
    <t>0.47</t>
  </si>
  <si>
    <t>Score Global Compact</t>
  </si>
  <si>
    <t>0.74</t>
  </si>
  <si>
    <t>-0.21</t>
  </si>
  <si>
    <t>0.25</t>
  </si>
  <si>
    <t>0.15</t>
  </si>
  <si>
    <t>-0.14</t>
  </si>
  <si>
    <t>Marché du Ski</t>
  </si>
  <si>
    <t>-3 -2 -1 0</t>
  </si>
  <si>
    <t>Firme</t>
  </si>
  <si>
    <t>Qual.</t>
  </si>
  <si>
    <t>Ski Elite</t>
  </si>
  <si>
    <t>Ski 2000</t>
  </si>
  <si>
    <t>---</t>
  </si>
  <si>
    <t>Marché de la Raquette</t>
  </si>
  <si>
    <t>Sommaire Firme</t>
  </si>
  <si>
    <t>Firmes</t>
  </si>
  <si>
    <t>C.A. (K€)</t>
  </si>
  <si>
    <t>Résultat (K€)</t>
  </si>
  <si>
    <t>Trésorerie (K€)</t>
  </si>
  <si>
    <t>ROE Moyen</t>
  </si>
  <si>
    <t>Firme 1</t>
  </si>
  <si>
    <t>27 559</t>
  </si>
  <si>
    <t>15 134</t>
  </si>
  <si>
    <t>Firme 2</t>
  </si>
  <si>
    <t>Firme 3</t>
  </si>
  <si>
    <t>Firme 4</t>
  </si>
  <si>
    <t>Firme 5</t>
  </si>
  <si>
    <t>Firme 6</t>
  </si>
  <si>
    <t>Firme 7</t>
  </si>
  <si>
    <t>23 075</t>
  </si>
  <si>
    <t>6 865</t>
  </si>
  <si>
    <t>39 560</t>
  </si>
  <si>
    <t>1 560</t>
  </si>
  <si>
    <t>13 361</t>
  </si>
  <si>
    <t>37 820</t>
  </si>
  <si>
    <t>1 566</t>
  </si>
  <si>
    <t>6 527</t>
  </si>
  <si>
    <t>34 079</t>
  </si>
  <si>
    <t>1 654</t>
  </si>
  <si>
    <t>3 055</t>
  </si>
  <si>
    <t>31 959</t>
  </si>
  <si>
    <t>1 404</t>
  </si>
  <si>
    <t>-6 456</t>
  </si>
  <si>
    <t>36 259</t>
  </si>
  <si>
    <t>1 483</t>
  </si>
  <si>
    <t>-2 705</t>
  </si>
  <si>
    <t>35 917</t>
  </si>
  <si>
    <t>1 047</t>
  </si>
  <si>
    <t>17 396</t>
  </si>
  <si>
    <t>RSE Moyen</t>
  </si>
  <si>
    <t>Global Compact</t>
  </si>
  <si>
    <t>58 709</t>
  </si>
  <si>
    <t>2 339</t>
  </si>
  <si>
    <t>-7 767</t>
  </si>
  <si>
    <t>78 898</t>
  </si>
  <si>
    <t>5 872</t>
  </si>
  <si>
    <t>-13 297</t>
  </si>
  <si>
    <t>57 189</t>
  </si>
  <si>
    <t>4 419</t>
  </si>
  <si>
    <t>74 314</t>
  </si>
  <si>
    <t>10 443</t>
  </si>
  <si>
    <t>-8 217</t>
  </si>
  <si>
    <t>80 021</t>
  </si>
  <si>
    <t>2 167</t>
  </si>
  <si>
    <t>8 861</t>
  </si>
  <si>
    <t>48 416</t>
  </si>
  <si>
    <t>2 254</t>
  </si>
  <si>
    <t>19 567</t>
  </si>
  <si>
    <t>42 548</t>
  </si>
  <si>
    <t>-1 883</t>
  </si>
  <si>
    <t>19 047</t>
  </si>
  <si>
    <t>57 301</t>
  </si>
  <si>
    <t>-1 567</t>
  </si>
  <si>
    <t>16 215</t>
  </si>
  <si>
    <t>57 328</t>
  </si>
  <si>
    <t>1 773</t>
  </si>
  <si>
    <t>14 980</t>
  </si>
  <si>
    <t>43 450</t>
  </si>
  <si>
    <t>4 085</t>
  </si>
  <si>
    <t>13 355</t>
  </si>
  <si>
    <t>59 364</t>
  </si>
  <si>
    <t>4 613</t>
  </si>
  <si>
    <t>41 957</t>
  </si>
  <si>
    <t>60 840</t>
  </si>
  <si>
    <t>-1 212</t>
  </si>
  <si>
    <t>20 361</t>
  </si>
  <si>
    <t>52 681</t>
  </si>
  <si>
    <t>-1 385</t>
  </si>
  <si>
    <t>6 853</t>
  </si>
  <si>
    <t>38 943</t>
  </si>
  <si>
    <t>27 119</t>
  </si>
  <si>
    <t>51 032</t>
  </si>
  <si>
    <t>-1 372</t>
  </si>
  <si>
    <t>13 246</t>
  </si>
  <si>
    <t>36 905</t>
  </si>
  <si>
    <t>16 131</t>
  </si>
  <si>
    <t>37 198</t>
  </si>
  <si>
    <t>1 700</t>
  </si>
  <si>
    <t>2 628</t>
  </si>
  <si>
    <t>44 102</t>
  </si>
  <si>
    <t>3 391</t>
  </si>
  <si>
    <t>46 105</t>
  </si>
  <si>
    <t>60 866</t>
  </si>
  <si>
    <t>2 888</t>
  </si>
  <si>
    <t>21 431</t>
  </si>
  <si>
    <t>46 344</t>
  </si>
  <si>
    <t>2 011</t>
  </si>
  <si>
    <t>5 059</t>
  </si>
  <si>
    <t>50 422</t>
  </si>
  <si>
    <t>2 058</t>
  </si>
  <si>
    <t>10 938</t>
  </si>
  <si>
    <t>70 281</t>
  </si>
  <si>
    <t>4 808</t>
  </si>
  <si>
    <t>-5 944</t>
  </si>
  <si>
    <t>63 445</t>
  </si>
  <si>
    <t>-5 730</t>
  </si>
  <si>
    <t>12 125</t>
  </si>
  <si>
    <t>38 932</t>
  </si>
  <si>
    <t>1 793</t>
  </si>
  <si>
    <t>2 428</t>
  </si>
  <si>
    <t>41 237</t>
  </si>
  <si>
    <t>30 236</t>
  </si>
  <si>
    <t>55 670</t>
  </si>
  <si>
    <t>1 992</t>
  </si>
  <si>
    <t>4 847</t>
  </si>
  <si>
    <t>47 498</t>
  </si>
  <si>
    <t>-1 419</t>
  </si>
  <si>
    <t>40 191</t>
  </si>
  <si>
    <t>-1 714</t>
  </si>
  <si>
    <t>9 568</t>
  </si>
  <si>
    <t>88 556</t>
  </si>
  <si>
    <t>13 281</t>
  </si>
  <si>
    <t>-11 645</t>
  </si>
  <si>
    <t>91 300</t>
  </si>
  <si>
    <t>13 356</t>
  </si>
  <si>
    <t>-13 383</t>
  </si>
  <si>
    <t>78 817</t>
  </si>
  <si>
    <t>10 711</t>
  </si>
  <si>
    <t>-12 380</t>
  </si>
  <si>
    <t>111 346</t>
  </si>
  <si>
    <t>20 896</t>
  </si>
  <si>
    <t>125 105</t>
  </si>
  <si>
    <t>13 532</t>
  </si>
  <si>
    <t>-36 943</t>
  </si>
  <si>
    <t>72 075</t>
  </si>
  <si>
    <t>8 516</t>
  </si>
  <si>
    <t>-1 819</t>
  </si>
  <si>
    <t>87 590</t>
  </si>
  <si>
    <t>13 095</t>
  </si>
  <si>
    <t>2 126</t>
  </si>
  <si>
    <t>unité</t>
  </si>
  <si>
    <t>salaire</t>
  </si>
  <si>
    <t>production K</t>
  </si>
  <si>
    <t>ouvrier</t>
  </si>
  <si>
    <t>salaire K</t>
  </si>
  <si>
    <t>embauche K</t>
  </si>
  <si>
    <t>1ouvrier</t>
  </si>
  <si>
    <t>donc il vaut mieux employer un nouveau empolyé</t>
  </si>
  <si>
    <t>P1</t>
  </si>
  <si>
    <t>P2</t>
  </si>
  <si>
    <t>P3</t>
  </si>
  <si>
    <t>P4</t>
  </si>
  <si>
    <t>P5</t>
  </si>
  <si>
    <t>P6</t>
  </si>
  <si>
    <t>MY</t>
  </si>
  <si>
    <t>P7</t>
  </si>
  <si>
    <t>P8</t>
  </si>
  <si>
    <t>P9</t>
  </si>
  <si>
    <t>P10</t>
  </si>
  <si>
    <t>Type</t>
  </si>
  <si>
    <t>Capacité_initiale</t>
  </si>
  <si>
    <t>Usure_trimestrielle</t>
  </si>
  <si>
    <t>Surcapacité_max</t>
  </si>
  <si>
    <t>MX</t>
  </si>
  <si>
    <t>ID_Machine</t>
  </si>
  <si>
    <t>Période_achat</t>
  </si>
  <si>
    <t>Quantité</t>
  </si>
  <si>
    <t>P11</t>
  </si>
  <si>
    <t>P12</t>
  </si>
  <si>
    <t xml:space="preserve">ouvrié </t>
  </si>
  <si>
    <t>fibre prix unité</t>
  </si>
  <si>
    <t>fibre recyclabe</t>
  </si>
  <si>
    <t>en plus cela change en fonction des périodes ...</t>
  </si>
  <si>
    <t>resine prix unité</t>
  </si>
  <si>
    <t>resine recyclabe</t>
  </si>
  <si>
    <t>coût ski elite</t>
  </si>
  <si>
    <t>coũt ski 2000</t>
  </si>
  <si>
    <t>coût raquette</t>
  </si>
  <si>
    <t>ski elite</t>
  </si>
  <si>
    <t>raquette</t>
  </si>
  <si>
    <t>DECISION</t>
  </si>
  <si>
    <t>RESTE</t>
  </si>
  <si>
    <t>REALITE</t>
  </si>
  <si>
    <t xml:space="preserve">Production ski elite </t>
  </si>
  <si>
    <t>fibre K</t>
  </si>
  <si>
    <t>resine K</t>
  </si>
  <si>
    <t xml:space="preserve">Production ski 2000 </t>
  </si>
  <si>
    <t>Production raquette</t>
  </si>
  <si>
    <t>stock fibre K</t>
  </si>
  <si>
    <t>stock resine K</t>
  </si>
  <si>
    <t>TOTAL Fibre</t>
  </si>
  <si>
    <t>TOTAL Résine</t>
  </si>
  <si>
    <t>TOTAL PRIX €</t>
  </si>
  <si>
    <t>%fibre recyclé</t>
  </si>
  <si>
    <t>%résine recyclé</t>
  </si>
  <si>
    <t>DECISION fibre K</t>
  </si>
  <si>
    <t>DECISION résine K</t>
  </si>
  <si>
    <t>RESTE fibre K</t>
  </si>
  <si>
    <t>RESTE résine K</t>
  </si>
  <si>
    <t>REALITE fibre K</t>
  </si>
  <si>
    <t>REALITE résine K</t>
  </si>
  <si>
    <t>ENCAISSEMENT</t>
  </si>
  <si>
    <t>DECAISSEMENT</t>
  </si>
  <si>
    <t xml:space="preserve">Paiement Matières 1ères </t>
  </si>
  <si>
    <t xml:space="preserve">Clients T-1 </t>
  </si>
  <si>
    <t>Fournisseurs Machines</t>
  </si>
  <si>
    <t>Effets escomptés</t>
  </si>
  <si>
    <t>Emprunts + Découvert</t>
  </si>
  <si>
    <t xml:space="preserve">Frais de Personnel </t>
  </si>
  <si>
    <t xml:space="preserve">Coûts Variables P° + R&amp;D </t>
  </si>
  <si>
    <t>Ventes Machines MX</t>
  </si>
  <si>
    <t>Frais de Vente + Publicité</t>
  </si>
  <si>
    <t>Retour d’Impôt</t>
  </si>
  <si>
    <t xml:space="preserve">Ventes BdC </t>
  </si>
  <si>
    <t xml:space="preserve">Frais Financiers </t>
  </si>
  <si>
    <t xml:space="preserve">Produits Financiers </t>
  </si>
  <si>
    <t>Autres Décaissements</t>
  </si>
  <si>
    <t xml:space="preserve">Autres encaissements </t>
  </si>
  <si>
    <t>Total</t>
  </si>
  <si>
    <t>Achats BdC</t>
  </si>
  <si>
    <t>Encaissements</t>
  </si>
  <si>
    <t>total</t>
  </si>
  <si>
    <t>Décaissements</t>
  </si>
  <si>
    <t>Paiement Fournisseurs</t>
  </si>
  <si>
    <t>machine</t>
  </si>
  <si>
    <t>R&amp;D</t>
  </si>
  <si>
    <t>Frais de Gestion &amp; Vente</t>
  </si>
  <si>
    <t>Études de Marché</t>
  </si>
  <si>
    <t>Impôts (de P0) &amp; Frais divers</t>
  </si>
  <si>
    <t>c'est que pour ski elite</t>
  </si>
  <si>
    <t>Trésorerie Final</t>
  </si>
  <si>
    <t>pas la meme chose</t>
  </si>
  <si>
    <t>c'est 13 275</t>
  </si>
  <si>
    <t>-&gt;</t>
  </si>
  <si>
    <t>Main d'oeuvre de production
11 894</t>
  </si>
  <si>
    <t>7 027</t>
  </si>
  <si>
    <t>Salaires Cadres
375</t>
  </si>
  <si>
    <t>Salaires Vendeurs + Embauche/Licenciement
625</t>
  </si>
  <si>
    <t>Salaires Administratifs
1 000</t>
  </si>
  <si>
    <r>
      <rPr>
        <u/>
        <sz val="10"/>
        <color rgb="FF1155CC"/>
        <rFont val="Arial"/>
      </rPr>
      <t>2 020</t>
    </r>
  </si>
  <si>
    <t>2 012</t>
  </si>
  <si>
    <t>13 200</t>
  </si>
  <si>
    <t>Tresorerie nette P3</t>
  </si>
  <si>
    <t>Dettes Fournisseurs M.P. bilan</t>
  </si>
  <si>
    <t>P</t>
  </si>
  <si>
    <t>main d'oeuvre prod</t>
  </si>
  <si>
    <t>Salaires Vendeurs + Embauche/Licenciement</t>
  </si>
  <si>
    <t>ouvrier en plus</t>
  </si>
  <si>
    <t>Coûts Variables P° + R&amp;D +Eco</t>
  </si>
  <si>
    <t>meme</t>
  </si>
  <si>
    <t>Dépenses QVT</t>
  </si>
  <si>
    <t>Comptabilité analytique</t>
  </si>
  <si>
    <t>Coûts Certification</t>
  </si>
  <si>
    <t>RESULTAT AVANT IMPOT 2</t>
  </si>
  <si>
    <t>Tresorerie nette</t>
  </si>
  <si>
    <t>trésorerie</t>
  </si>
  <si>
    <t>nb de production</t>
  </si>
  <si>
    <t>Coût Variable Unitaire</t>
  </si>
  <si>
    <t>1 475</t>
  </si>
  <si>
    <t>moe</t>
  </si>
  <si>
    <t>RESULTAT AVANT IMPOT</t>
  </si>
  <si>
    <t>Taux_Emprunt_CT de la Période</t>
  </si>
  <si>
    <t>chiffre d'aiffaire prévision</t>
  </si>
  <si>
    <t>COUT total</t>
  </si>
  <si>
    <t>TOTAL GÉNÉRAL</t>
  </si>
  <si>
    <t>Produit</t>
  </si>
  <si>
    <t>Raquette</t>
  </si>
  <si>
    <t>MP</t>
  </si>
  <si>
    <t>Fibre</t>
  </si>
  <si>
    <t>Résine</t>
  </si>
  <si>
    <t>BESOINS (KU)</t>
  </si>
  <si>
    <t>COÛTS (€)</t>
  </si>
  <si>
    <t>Paramètre</t>
  </si>
  <si>
    <t>Valeur</t>
  </si>
  <si>
    <t>Période_Max</t>
  </si>
  <si>
    <t>Période_Début</t>
  </si>
  <si>
    <t>Unité_Production</t>
  </si>
  <si>
    <t>KU</t>
  </si>
  <si>
    <t>Devise</t>
  </si>
  <si>
    <t>€</t>
  </si>
  <si>
    <t>PRIX VIRGIN</t>
  </si>
  <si>
    <t>PRIX RECYCLÉ</t>
  </si>
  <si>
    <t>% RECYCLÉ</t>
  </si>
  <si>
    <t>PRODUCTION (KU)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</si>
</sst>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"/>
    <numFmt numFmtId="165" formatCode="\P0;\P\-0"/>
    <numFmt numFmtId="166" formatCode="#,##0\ \€"/>
  </numFmts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Arial"/>
      <scheme val="minor"/>
    </font>
    <font>
      <sz val="10"/>
      <color rgb="FF434343"/>
      <name val="Arial"/>
    </font>
    <font>
      <b/>
      <sz val="24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4472C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D7D31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/>
    <xf numFmtId="0" fontId="2" fillId="0" borderId="0" xfId="0" applyFont="1"/>
    <xf numFmtId="0" fontId="3" fillId="2" borderId="0" xfId="0" applyFont="1" applyFill="1"/>
    <xf numFmtId="164" fontId="1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10" fillId="0" borderId="0" xfId="0" applyFont="1"/>
    <xf numFmtId="0" fontId="11" fillId="6" borderId="0" xfId="0" applyFont="1" applyFill="1"/>
    <xf numFmtId="0" fontId="12" fillId="0" borderId="0" xfId="0" applyFont="1"/>
    <xf numFmtId="0" fontId="9" fillId="7" borderId="1" xfId="0" applyFont="1" applyFill="1" applyBorder="1"/>
    <xf numFmtId="0" fontId="9" fillId="7" borderId="2" xfId="0" applyFont="1" applyFill="1" applyBorder="1"/>
    <xf numFmtId="0" fontId="9" fillId="7" borderId="3" xfId="0" applyFont="1" applyFill="1" applyBorder="1"/>
    <xf numFmtId="0" fontId="1" fillId="0" borderId="0" xfId="0" applyFont="1"/>
    <xf numFmtId="0" fontId="14" fillId="0" borderId="0" xfId="0" applyFont="1"/>
    <xf numFmtId="0" fontId="15" fillId="6" borderId="0" xfId="0" applyFont="1" applyFill="1"/>
    <xf numFmtId="0" fontId="1" fillId="0" borderId="0" xfId="0" applyFont="1" applyAlignment="1">
      <alignment horizontal="right"/>
    </xf>
    <xf numFmtId="165" fontId="14" fillId="0" borderId="0" xfId="0" applyNumberFormat="1" applyFont="1"/>
    <xf numFmtId="165" fontId="0" fillId="0" borderId="0" xfId="0" applyNumberFormat="1"/>
    <xf numFmtId="0" fontId="16" fillId="0" borderId="0" xfId="0" applyFont="1"/>
    <xf numFmtId="3" fontId="0" fillId="0" borderId="0" xfId="0" applyNumberFormat="1"/>
    <xf numFmtId="0" fontId="9" fillId="0" borderId="0" xfId="0" applyFont="1"/>
    <xf numFmtId="4" fontId="0" fillId="0" borderId="0" xfId="0" applyNumberFormat="1"/>
    <xf numFmtId="9" fontId="0" fillId="0" borderId="0" xfId="0" applyNumberFormat="1"/>
    <xf numFmtId="3" fontId="16" fillId="0" borderId="0" xfId="0" applyNumberFormat="1" applyFont="1"/>
    <xf numFmtId="0" fontId="11" fillId="8" borderId="0" xfId="0" applyFont="1" applyFill="1"/>
    <xf numFmtId="166" fontId="0" fillId="0" borderId="0" xfId="0" applyNumberFormat="1"/>
    <xf numFmtId="0" fontId="11" fillId="6" borderId="4" xfId="0" applyFont="1" applyFill="1" applyBorder="1"/>
    <xf numFmtId="0" fontId="0" fillId="0" borderId="4" xfId="0" applyBorder="1"/>
    <xf numFmtId="166" fontId="16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/>
    <xf numFmtId="0" fontId="5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8">
    <dxf>
      <fill>
        <patternFill patternType="solid">
          <fgColor rgb="FFF4C7C3"/>
          <bgColor rgb="FFF4C7C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BBBA4-0A4D-4F26-B3B1-904F4D95BDF1}" name="Ajouts" displayName="Ajouts" ref="A1:C7" totalsRowShown="0" headerRowDxfId="7">
  <tableColumns count="3">
    <tableColumn id="1" xr3:uid="{303CD22D-421D-4AA9-B806-AA617C437659}" name="Type"/>
    <tableColumn id="2" xr3:uid="{972AF7B5-F5A2-45DA-AD29-FCA2E592A36A}" name="Période_achat"/>
    <tableColumn id="3" xr3:uid="{4D5B4160-AB1D-4FD7-A3B9-813277184DB1}" name="Quantit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6CF225-8BA3-410C-B60A-59292B2DB7B4}" name="TblParam_Machines" displayName="TblParam_Machines" ref="A1:D5" totalsRowShown="0" headerRowDxfId="6" dataDxfId="5">
  <autoFilter ref="A1:D5" xr:uid="{F66CF225-8BA3-410C-B60A-59292B2DB7B4}"/>
  <tableColumns count="4">
    <tableColumn id="1" xr3:uid="{B6B728CA-2C85-4409-ADFF-7D001E25CEC3}" name="Type" dataDxfId="4"/>
    <tableColumn id="2" xr3:uid="{2A5C7437-A963-41B7-AFF3-E2AC1F6CB946}" name="Capacité_initiale" dataDxfId="3"/>
    <tableColumn id="3" xr3:uid="{FCAEF20C-BAFC-46DA-BD66-903F32AF34A6}" name="Usure_trimestrielle" dataDxfId="2"/>
    <tableColumn id="4" xr3:uid="{F0150C75-F8D1-4D07-84A1-5F0C17C4545B}" name="Surcapacité_max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esoft.fr/ngen/results.php?p=3" TargetMode="External"/><Relationship Id="rId2" Type="http://schemas.openxmlformats.org/officeDocument/2006/relationships/hyperlink" Target="https://www.besoft.fr/ngen/results.php?p=3" TargetMode="External"/><Relationship Id="rId1" Type="http://schemas.openxmlformats.org/officeDocument/2006/relationships/hyperlink" Target="https://www.besoft.fr/ngen/results.php?p=0" TargetMode="External"/><Relationship Id="rId4" Type="http://schemas.openxmlformats.org/officeDocument/2006/relationships/hyperlink" Target="https://www.besoft.fr/ngen/results.php?p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outlinePr summaryBelow="0" summaryRight="0"/>
  </sheetPr>
  <dimension ref="A1:M5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N26" sqref="N26"/>
    </sheetView>
  </sheetViews>
  <sheetFormatPr baseColWidth="10" defaultColWidth="12.5703125" defaultRowHeight="15.75" customHeight="1" x14ac:dyDescent="0.2"/>
  <cols>
    <col min="1" max="1" width="12.5703125" hidden="1"/>
    <col min="2" max="2" width="25.42578125" customWidth="1"/>
  </cols>
  <sheetData>
    <row r="1" spans="1:13" ht="12.75" hidden="1" x14ac:dyDescent="0.2">
      <c r="A1" s="1" t="s">
        <v>0</v>
      </c>
      <c r="B1" s="1"/>
      <c r="C1" s="1"/>
      <c r="D1" s="1"/>
      <c r="E1" s="1"/>
      <c r="F1" s="1"/>
      <c r="G1" s="1"/>
    </row>
    <row r="2" spans="1:13" ht="12.75" hidden="1" x14ac:dyDescent="0.2">
      <c r="A2" s="1" t="s">
        <v>1</v>
      </c>
      <c r="B2" s="1"/>
      <c r="C2" s="1"/>
      <c r="D2" s="1"/>
      <c r="E2" s="1"/>
      <c r="F2" s="1"/>
      <c r="G2" s="1"/>
    </row>
    <row r="3" spans="1:13" ht="12.75" hidden="1" x14ac:dyDescent="0.2">
      <c r="A3" s="1" t="s">
        <v>2</v>
      </c>
      <c r="B3" s="1"/>
      <c r="C3" s="1"/>
      <c r="D3" s="1"/>
      <c r="E3" s="1"/>
      <c r="F3" s="1"/>
      <c r="G3" s="1"/>
    </row>
    <row r="4" spans="1:13" ht="12.75" hidden="1" x14ac:dyDescent="0.2">
      <c r="A4" s="1"/>
      <c r="B4" s="1"/>
      <c r="C4" s="1"/>
      <c r="D4" s="1"/>
      <c r="E4" s="1"/>
      <c r="F4" s="1"/>
      <c r="G4" s="1"/>
    </row>
    <row r="5" spans="1:13" ht="12.75" x14ac:dyDescent="0.2">
      <c r="A5" s="1"/>
      <c r="B5" s="1" t="s">
        <v>3</v>
      </c>
      <c r="C5" s="1"/>
      <c r="D5" s="25">
        <v>-3</v>
      </c>
      <c r="E5" s="25">
        <v>-2</v>
      </c>
      <c r="F5" s="25">
        <v>-1</v>
      </c>
      <c r="G5" s="25">
        <v>0</v>
      </c>
      <c r="H5" s="22">
        <v>1</v>
      </c>
      <c r="I5" s="22">
        <v>2</v>
      </c>
      <c r="J5" s="22">
        <v>3</v>
      </c>
      <c r="K5" s="22">
        <v>4</v>
      </c>
      <c r="L5" s="22">
        <v>5</v>
      </c>
      <c r="M5" s="22">
        <v>6</v>
      </c>
    </row>
    <row r="6" spans="1:13" ht="12.75" x14ac:dyDescent="0.2">
      <c r="A6" s="1"/>
      <c r="B6" s="1"/>
      <c r="C6" s="1"/>
      <c r="D6" s="1"/>
      <c r="E6" s="1"/>
      <c r="F6" s="1"/>
      <c r="G6" s="1"/>
    </row>
    <row r="7" spans="1:13" ht="12.75" x14ac:dyDescent="0.2">
      <c r="A7" s="1"/>
      <c r="B7" s="1" t="s">
        <v>4</v>
      </c>
      <c r="C7" s="1"/>
      <c r="D7" s="1"/>
      <c r="E7" s="1"/>
      <c r="F7" s="1"/>
      <c r="G7" s="1"/>
    </row>
    <row r="8" spans="1:13" ht="12.75" x14ac:dyDescent="0.2">
      <c r="A8" s="1" t="s">
        <v>5</v>
      </c>
      <c r="B8" s="1" t="s">
        <v>6</v>
      </c>
      <c r="C8" s="1"/>
      <c r="D8" s="1" t="s">
        <v>7</v>
      </c>
      <c r="E8" s="1" t="s">
        <v>7</v>
      </c>
      <c r="F8" s="1" t="s">
        <v>7</v>
      </c>
      <c r="G8" s="1" t="s">
        <v>7</v>
      </c>
      <c r="H8" s="2" t="s">
        <v>7</v>
      </c>
      <c r="I8" s="2" t="s">
        <v>7</v>
      </c>
      <c r="J8" s="2" t="s">
        <v>8</v>
      </c>
      <c r="K8" s="2" t="s">
        <v>9</v>
      </c>
      <c r="L8" s="2" t="s">
        <v>8</v>
      </c>
      <c r="M8" s="2" t="s">
        <v>10</v>
      </c>
    </row>
    <row r="9" spans="1:13" ht="12.75" x14ac:dyDescent="0.2">
      <c r="A9" s="1" t="s">
        <v>11</v>
      </c>
      <c r="B9" s="1" t="s">
        <v>12</v>
      </c>
      <c r="C9" s="1"/>
      <c r="D9" s="25">
        <v>200</v>
      </c>
      <c r="E9" s="25">
        <v>200</v>
      </c>
      <c r="F9" s="25">
        <v>200</v>
      </c>
      <c r="G9" s="25">
        <v>200</v>
      </c>
      <c r="H9" s="2">
        <v>180</v>
      </c>
      <c r="I9" s="2">
        <v>120</v>
      </c>
      <c r="J9" s="2">
        <v>122</v>
      </c>
      <c r="K9" s="2">
        <v>103</v>
      </c>
      <c r="L9" s="2">
        <v>125</v>
      </c>
      <c r="M9" s="2">
        <v>120</v>
      </c>
    </row>
    <row r="10" spans="1:13" ht="12.75" x14ac:dyDescent="0.2">
      <c r="A10" s="1" t="s">
        <v>13</v>
      </c>
      <c r="B10" s="1" t="s">
        <v>14</v>
      </c>
      <c r="C10" s="1"/>
      <c r="D10" s="25">
        <v>500</v>
      </c>
      <c r="E10" s="25">
        <v>1000</v>
      </c>
      <c r="F10" s="25">
        <v>600</v>
      </c>
      <c r="G10" s="25">
        <v>600</v>
      </c>
      <c r="H10" s="2">
        <v>500</v>
      </c>
      <c r="I10" s="2">
        <v>500</v>
      </c>
      <c r="J10" s="2">
        <v>400</v>
      </c>
      <c r="K10" s="2">
        <v>400</v>
      </c>
      <c r="L10" s="2">
        <v>400</v>
      </c>
      <c r="M10" s="2">
        <v>700</v>
      </c>
    </row>
    <row r="11" spans="1:13" ht="12.75" x14ac:dyDescent="0.2">
      <c r="A11" s="1"/>
      <c r="B11" s="1" t="s">
        <v>15</v>
      </c>
      <c r="C11" s="1"/>
      <c r="D11" s="1"/>
      <c r="E11" s="1"/>
      <c r="F11" s="1"/>
      <c r="G11" s="1"/>
      <c r="H11" s="3"/>
      <c r="I11" s="3"/>
      <c r="J11" s="3"/>
      <c r="K11" s="3"/>
      <c r="L11" s="3"/>
      <c r="M11" s="3"/>
    </row>
    <row r="12" spans="1:13" ht="12.75" x14ac:dyDescent="0.2">
      <c r="A12" s="1" t="s">
        <v>16</v>
      </c>
      <c r="B12" s="1" t="s">
        <v>6</v>
      </c>
      <c r="C12" s="1"/>
      <c r="D12" s="1" t="s">
        <v>17</v>
      </c>
      <c r="E12" s="1" t="s">
        <v>17</v>
      </c>
      <c r="F12" s="1" t="s">
        <v>17</v>
      </c>
      <c r="G12" s="1" t="s">
        <v>17</v>
      </c>
      <c r="H12" s="2" t="s">
        <v>18</v>
      </c>
      <c r="I12" s="2" t="s">
        <v>18</v>
      </c>
      <c r="J12" s="2" t="s">
        <v>19</v>
      </c>
      <c r="K12" s="2" t="s">
        <v>19</v>
      </c>
      <c r="L12" s="2" t="s">
        <v>7</v>
      </c>
      <c r="M12" s="2" t="s">
        <v>20</v>
      </c>
    </row>
    <row r="13" spans="1:13" ht="12.75" x14ac:dyDescent="0.2">
      <c r="A13" s="1" t="s">
        <v>21</v>
      </c>
      <c r="B13" s="1" t="s">
        <v>12</v>
      </c>
      <c r="C13" s="1"/>
      <c r="D13" s="25">
        <v>0</v>
      </c>
      <c r="E13" s="25">
        <v>0</v>
      </c>
      <c r="F13" s="25">
        <v>0</v>
      </c>
      <c r="G13" s="25">
        <v>0</v>
      </c>
      <c r="H13" s="4">
        <v>20</v>
      </c>
      <c r="I13" s="4">
        <v>90</v>
      </c>
      <c r="J13" s="4">
        <v>80</v>
      </c>
      <c r="K13" s="4">
        <v>104</v>
      </c>
      <c r="L13" s="4">
        <v>106</v>
      </c>
      <c r="M13" s="4">
        <v>79</v>
      </c>
    </row>
    <row r="14" spans="1:13" ht="12.75" x14ac:dyDescent="0.2">
      <c r="A14" s="1" t="s">
        <v>22</v>
      </c>
      <c r="B14" s="1" t="s">
        <v>14</v>
      </c>
      <c r="C14" s="1"/>
      <c r="D14" s="25">
        <v>0</v>
      </c>
      <c r="E14" s="25">
        <v>0</v>
      </c>
      <c r="F14" s="25">
        <v>0</v>
      </c>
      <c r="G14" s="25">
        <v>0</v>
      </c>
      <c r="H14" s="4">
        <v>200</v>
      </c>
      <c r="I14" s="4">
        <v>300</v>
      </c>
      <c r="J14" s="4">
        <v>200</v>
      </c>
      <c r="K14" s="4">
        <v>200</v>
      </c>
      <c r="L14" s="4">
        <v>400</v>
      </c>
      <c r="M14" s="4">
        <v>900</v>
      </c>
    </row>
    <row r="15" spans="1:13" ht="12.75" x14ac:dyDescent="0.2">
      <c r="A15" s="1" t="s">
        <v>23</v>
      </c>
      <c r="B15" s="1" t="s">
        <v>24</v>
      </c>
      <c r="C15" s="1"/>
      <c r="D15" s="25">
        <v>0</v>
      </c>
      <c r="E15" s="25">
        <v>0</v>
      </c>
      <c r="F15" s="25">
        <v>0</v>
      </c>
      <c r="G15" s="25">
        <v>0</v>
      </c>
      <c r="H15" s="4">
        <v>30</v>
      </c>
      <c r="I15" s="4">
        <v>30</v>
      </c>
      <c r="J15" s="4">
        <v>30</v>
      </c>
      <c r="K15" s="4">
        <v>30</v>
      </c>
      <c r="L15" s="4">
        <v>30</v>
      </c>
      <c r="M15" s="4">
        <v>30</v>
      </c>
    </row>
    <row r="16" spans="1:13" ht="12.75" x14ac:dyDescent="0.2">
      <c r="A16" s="1"/>
      <c r="B16" s="1" t="s">
        <v>25</v>
      </c>
      <c r="C16" s="1"/>
      <c r="D16" s="1"/>
      <c r="E16" s="1"/>
      <c r="F16" s="1"/>
      <c r="G16" s="1"/>
      <c r="H16" s="3"/>
      <c r="I16" s="3"/>
      <c r="J16" s="3"/>
      <c r="K16" s="3"/>
      <c r="L16" s="3"/>
      <c r="M16" s="3"/>
    </row>
    <row r="17" spans="1:13" ht="12.75" x14ac:dyDescent="0.2">
      <c r="A17" s="1" t="s">
        <v>26</v>
      </c>
      <c r="B17" s="1" t="s">
        <v>6</v>
      </c>
      <c r="C17" s="1"/>
      <c r="D17" s="1" t="s">
        <v>17</v>
      </c>
      <c r="E17" s="1" t="s">
        <v>17</v>
      </c>
      <c r="F17" s="1" t="s">
        <v>17</v>
      </c>
      <c r="G17" s="1" t="s">
        <v>17</v>
      </c>
      <c r="H17" s="2" t="s">
        <v>17</v>
      </c>
      <c r="I17" s="2" t="s">
        <v>27</v>
      </c>
      <c r="J17" s="2" t="s">
        <v>18</v>
      </c>
      <c r="K17" s="2" t="s">
        <v>28</v>
      </c>
      <c r="L17" s="2" t="s">
        <v>18</v>
      </c>
      <c r="M17" s="2" t="s">
        <v>18</v>
      </c>
    </row>
    <row r="18" spans="1:13" ht="12.75" x14ac:dyDescent="0.2">
      <c r="A18" s="1" t="s">
        <v>29</v>
      </c>
      <c r="B18" s="1" t="s">
        <v>12</v>
      </c>
      <c r="C18" s="1"/>
      <c r="D18" s="25">
        <v>0</v>
      </c>
      <c r="E18" s="25">
        <v>0</v>
      </c>
      <c r="F18" s="25">
        <v>0</v>
      </c>
      <c r="G18" s="25">
        <v>0</v>
      </c>
      <c r="H18" s="2">
        <v>0</v>
      </c>
      <c r="I18" s="2">
        <v>37</v>
      </c>
      <c r="J18" s="2">
        <v>34</v>
      </c>
      <c r="K18" s="2">
        <v>58</v>
      </c>
      <c r="L18" s="2">
        <v>34</v>
      </c>
      <c r="M18" s="2">
        <v>50</v>
      </c>
    </row>
    <row r="19" spans="1:13" ht="12.75" x14ac:dyDescent="0.2">
      <c r="A19" s="1" t="s">
        <v>30</v>
      </c>
      <c r="B19" s="1" t="s">
        <v>14</v>
      </c>
      <c r="C19" s="1"/>
      <c r="D19" s="25">
        <v>0</v>
      </c>
      <c r="E19" s="25">
        <v>0</v>
      </c>
      <c r="F19" s="25">
        <v>0</v>
      </c>
      <c r="G19" s="25">
        <v>0</v>
      </c>
      <c r="H19" s="2">
        <v>0</v>
      </c>
      <c r="I19" s="2">
        <v>200</v>
      </c>
      <c r="J19" s="2">
        <v>400</v>
      </c>
      <c r="K19" s="2">
        <v>400</v>
      </c>
      <c r="L19" s="2">
        <v>300</v>
      </c>
      <c r="M19" s="2">
        <v>600</v>
      </c>
    </row>
    <row r="20" spans="1:13" ht="12.75" x14ac:dyDescent="0.2">
      <c r="A20" s="1"/>
      <c r="B20" s="1" t="s">
        <v>31</v>
      </c>
      <c r="C20" s="1"/>
      <c r="D20" s="1"/>
      <c r="E20" s="1"/>
      <c r="F20" s="1"/>
      <c r="G20" s="1"/>
      <c r="H20" s="3"/>
      <c r="I20" s="3"/>
      <c r="J20" s="3"/>
      <c r="K20" s="3"/>
      <c r="L20" s="3"/>
      <c r="M20" s="3"/>
    </row>
    <row r="21" spans="1:13" ht="12.75" x14ac:dyDescent="0.2">
      <c r="A21" s="1" t="s">
        <v>32</v>
      </c>
      <c r="B21" s="1" t="s">
        <v>33</v>
      </c>
      <c r="C21" s="1"/>
      <c r="D21" s="1" t="s">
        <v>34</v>
      </c>
      <c r="E21" s="1" t="s">
        <v>34</v>
      </c>
      <c r="F21" s="1" t="s">
        <v>34</v>
      </c>
      <c r="G21" s="1" t="s">
        <v>34</v>
      </c>
      <c r="H21" s="2" t="s">
        <v>34</v>
      </c>
      <c r="I21" s="2" t="s">
        <v>34</v>
      </c>
      <c r="J21" s="2" t="s">
        <v>34</v>
      </c>
      <c r="K21" s="2" t="s">
        <v>34</v>
      </c>
      <c r="L21" s="2" t="s">
        <v>35</v>
      </c>
      <c r="M21" s="2" t="s">
        <v>34</v>
      </c>
    </row>
    <row r="22" spans="1:13" ht="12.75" x14ac:dyDescent="0.2">
      <c r="A22" s="1" t="s">
        <v>36</v>
      </c>
      <c r="B22" s="1" t="s">
        <v>37</v>
      </c>
      <c r="C22" s="1"/>
      <c r="D22" s="1" t="s">
        <v>34</v>
      </c>
      <c r="E22" s="1" t="s">
        <v>34</v>
      </c>
      <c r="F22" s="1" t="s">
        <v>34</v>
      </c>
      <c r="G22" s="1" t="s">
        <v>34</v>
      </c>
      <c r="H22" s="2" t="s">
        <v>34</v>
      </c>
      <c r="I22" s="2" t="s">
        <v>34</v>
      </c>
      <c r="J22" s="2" t="s">
        <v>34</v>
      </c>
      <c r="K22" s="2" t="s">
        <v>35</v>
      </c>
      <c r="L22" s="2" t="s">
        <v>34</v>
      </c>
      <c r="M22" s="2" t="s">
        <v>34</v>
      </c>
    </row>
    <row r="23" spans="1:13" ht="12.75" x14ac:dyDescent="0.2">
      <c r="A23" s="1" t="s">
        <v>38</v>
      </c>
      <c r="B23" s="1" t="s">
        <v>39</v>
      </c>
      <c r="C23" s="1"/>
      <c r="D23" s="1" t="s">
        <v>34</v>
      </c>
      <c r="E23" s="1" t="s">
        <v>34</v>
      </c>
      <c r="F23" s="1" t="s">
        <v>34</v>
      </c>
      <c r="G23" s="1" t="s">
        <v>34</v>
      </c>
      <c r="H23" s="2" t="s">
        <v>35</v>
      </c>
      <c r="I23" s="2" t="s">
        <v>35</v>
      </c>
      <c r="J23" s="2" t="s">
        <v>35</v>
      </c>
      <c r="K23" s="2" t="s">
        <v>35</v>
      </c>
      <c r="L23" s="2" t="s">
        <v>35</v>
      </c>
      <c r="M23" s="2" t="s">
        <v>34</v>
      </c>
    </row>
    <row r="24" spans="1:13" ht="12.75" x14ac:dyDescent="0.2">
      <c r="A24" s="1"/>
      <c r="B24" s="1" t="s">
        <v>40</v>
      </c>
      <c r="C24" s="1"/>
      <c r="D24" s="1"/>
      <c r="E24" s="1"/>
      <c r="F24" s="1"/>
      <c r="G24" s="1"/>
      <c r="H24" s="3"/>
      <c r="I24" s="3"/>
      <c r="J24" s="3"/>
      <c r="K24" s="3"/>
      <c r="L24" s="3"/>
      <c r="M24" s="3"/>
    </row>
    <row r="25" spans="1:13" ht="12.75" x14ac:dyDescent="0.2">
      <c r="A25" s="1" t="s">
        <v>41</v>
      </c>
      <c r="B25" s="1" t="s">
        <v>42</v>
      </c>
      <c r="C25" s="1"/>
      <c r="D25" s="25">
        <v>100</v>
      </c>
      <c r="E25" s="25">
        <v>100</v>
      </c>
      <c r="F25" s="25">
        <v>100</v>
      </c>
      <c r="G25" s="25">
        <v>100</v>
      </c>
      <c r="H25" s="2">
        <v>100</v>
      </c>
      <c r="I25" s="2">
        <v>200</v>
      </c>
      <c r="J25" s="2">
        <v>200</v>
      </c>
      <c r="K25" s="2">
        <v>200</v>
      </c>
      <c r="L25" s="2">
        <v>200</v>
      </c>
      <c r="M25" s="2">
        <v>200</v>
      </c>
    </row>
    <row r="26" spans="1:13" ht="12.75" x14ac:dyDescent="0.2">
      <c r="A26" s="1" t="s">
        <v>43</v>
      </c>
      <c r="B26" s="1" t="s">
        <v>44</v>
      </c>
      <c r="C26" s="1"/>
      <c r="D26" s="25">
        <v>0</v>
      </c>
      <c r="E26" s="25">
        <v>0</v>
      </c>
      <c r="F26" s="25">
        <v>0</v>
      </c>
      <c r="G26" s="25">
        <v>0</v>
      </c>
      <c r="H26" s="2">
        <v>0</v>
      </c>
      <c r="I26" s="2">
        <v>0</v>
      </c>
      <c r="J26" s="2">
        <v>1</v>
      </c>
      <c r="K26" s="2">
        <v>0</v>
      </c>
      <c r="L26" s="2">
        <v>1</v>
      </c>
      <c r="M26" s="2">
        <v>0</v>
      </c>
    </row>
    <row r="27" spans="1:13" ht="12.75" x14ac:dyDescent="0.2">
      <c r="A27" s="1" t="s">
        <v>45</v>
      </c>
      <c r="B27" s="1" t="s">
        <v>46</v>
      </c>
      <c r="C27" s="1"/>
      <c r="D27" s="25">
        <v>0</v>
      </c>
      <c r="E27" s="25">
        <v>0</v>
      </c>
      <c r="F27" s="25">
        <v>0</v>
      </c>
      <c r="G27" s="25">
        <v>0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0</v>
      </c>
    </row>
    <row r="28" spans="1:13" ht="12.75" x14ac:dyDescent="0.2">
      <c r="A28" s="1"/>
      <c r="B28" s="1" t="s">
        <v>47</v>
      </c>
      <c r="C28" s="1"/>
      <c r="D28" s="1"/>
      <c r="E28" s="1"/>
      <c r="F28" s="1"/>
      <c r="G28" s="1"/>
      <c r="H28" s="3"/>
      <c r="I28" s="3"/>
      <c r="J28" s="3"/>
      <c r="K28" s="3"/>
      <c r="L28" s="3"/>
      <c r="M28" s="3"/>
    </row>
    <row r="29" spans="1:13" ht="12.75" x14ac:dyDescent="0.2">
      <c r="A29" s="1" t="s">
        <v>48</v>
      </c>
      <c r="B29" s="1" t="s">
        <v>49</v>
      </c>
      <c r="C29" s="1"/>
      <c r="D29" s="25">
        <v>0</v>
      </c>
      <c r="E29" s="25">
        <v>0</v>
      </c>
      <c r="F29" s="25">
        <v>0</v>
      </c>
      <c r="G29" s="25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1:13" ht="12.75" x14ac:dyDescent="0.2">
      <c r="A30" s="1" t="s">
        <v>50</v>
      </c>
      <c r="B30" s="1" t="s">
        <v>51</v>
      </c>
      <c r="C30" s="1"/>
      <c r="D30" s="25">
        <v>0</v>
      </c>
      <c r="E30" s="25">
        <v>0</v>
      </c>
      <c r="F30" s="25">
        <v>0</v>
      </c>
      <c r="G30" s="25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1:13" ht="12.75" x14ac:dyDescent="0.2">
      <c r="A31" s="1" t="s">
        <v>52</v>
      </c>
      <c r="B31" s="1" t="s">
        <v>53</v>
      </c>
      <c r="C31" s="1"/>
      <c r="D31" s="25">
        <v>3300</v>
      </c>
      <c r="E31" s="25">
        <v>3300</v>
      </c>
      <c r="F31" s="25">
        <v>3000</v>
      </c>
      <c r="G31" s="25">
        <v>3000</v>
      </c>
      <c r="H31" s="2">
        <v>1900</v>
      </c>
      <c r="I31" s="2">
        <v>2800</v>
      </c>
      <c r="J31" s="2">
        <v>4200</v>
      </c>
      <c r="K31" s="2">
        <v>900</v>
      </c>
      <c r="L31" s="2">
        <v>2700</v>
      </c>
      <c r="M31" s="2">
        <v>2400</v>
      </c>
    </row>
    <row r="32" spans="1:13" ht="12.75" x14ac:dyDescent="0.2">
      <c r="A32" s="1" t="s">
        <v>54</v>
      </c>
      <c r="B32" s="1" t="s">
        <v>55</v>
      </c>
      <c r="C32" s="1"/>
      <c r="D32" s="25">
        <v>0</v>
      </c>
      <c r="E32" s="25">
        <v>0</v>
      </c>
      <c r="F32" s="25">
        <v>0</v>
      </c>
      <c r="G32" s="25">
        <v>0</v>
      </c>
      <c r="H32" s="3">
        <v>0</v>
      </c>
      <c r="I32" s="3">
        <v>0</v>
      </c>
      <c r="J32" s="3">
        <v>10</v>
      </c>
      <c r="K32" s="3">
        <v>10</v>
      </c>
      <c r="L32" s="3">
        <v>10</v>
      </c>
      <c r="M32" s="3">
        <v>10</v>
      </c>
    </row>
    <row r="33" spans="1:13" ht="12.75" x14ac:dyDescent="0.2">
      <c r="A33" s="1" t="s">
        <v>56</v>
      </c>
      <c r="B33" s="1" t="s">
        <v>57</v>
      </c>
      <c r="C33" s="1"/>
      <c r="D33" s="25">
        <v>750</v>
      </c>
      <c r="E33" s="25">
        <v>750</v>
      </c>
      <c r="F33" s="25">
        <v>600</v>
      </c>
      <c r="G33" s="25">
        <v>900</v>
      </c>
      <c r="H33" s="2">
        <v>900</v>
      </c>
      <c r="I33" s="2">
        <v>2900</v>
      </c>
      <c r="J33" s="2">
        <v>600</v>
      </c>
      <c r="K33" s="2">
        <v>2100</v>
      </c>
      <c r="L33" s="2">
        <v>2500</v>
      </c>
      <c r="M33" s="2">
        <v>1700</v>
      </c>
    </row>
    <row r="34" spans="1:13" ht="12.75" x14ac:dyDescent="0.2">
      <c r="A34" s="1" t="s">
        <v>58</v>
      </c>
      <c r="B34" s="1" t="s">
        <v>59</v>
      </c>
      <c r="C34" s="1"/>
      <c r="D34" s="25">
        <v>0</v>
      </c>
      <c r="E34" s="25">
        <v>0</v>
      </c>
      <c r="F34" s="25">
        <v>0</v>
      </c>
      <c r="G34" s="25">
        <v>0</v>
      </c>
      <c r="H34" s="3">
        <v>0</v>
      </c>
      <c r="I34" s="3">
        <v>0</v>
      </c>
      <c r="J34" s="3">
        <v>30</v>
      </c>
      <c r="K34" s="3">
        <v>30</v>
      </c>
      <c r="L34" s="3">
        <v>30</v>
      </c>
      <c r="M34" s="3">
        <v>30</v>
      </c>
    </row>
    <row r="35" spans="1:13" ht="12.75" x14ac:dyDescent="0.2">
      <c r="A35" s="1" t="s">
        <v>60</v>
      </c>
      <c r="B35" s="1" t="s">
        <v>49</v>
      </c>
      <c r="C35" s="1"/>
      <c r="D35" s="25">
        <v>0</v>
      </c>
      <c r="E35" s="25">
        <v>0</v>
      </c>
      <c r="F35" s="25">
        <v>0</v>
      </c>
      <c r="G35" s="25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6" spans="1:13" ht="12.75" x14ac:dyDescent="0.2">
      <c r="A36" s="1" t="s">
        <v>61</v>
      </c>
      <c r="B36" s="1" t="s">
        <v>51</v>
      </c>
      <c r="C36" s="1"/>
      <c r="D36" s="25">
        <v>0</v>
      </c>
      <c r="E36" s="25">
        <v>0</v>
      </c>
      <c r="F36" s="25">
        <v>0</v>
      </c>
      <c r="G36" s="25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</row>
    <row r="37" spans="1:13" ht="12.75" x14ac:dyDescent="0.2">
      <c r="A37" s="1" t="s">
        <v>62</v>
      </c>
      <c r="B37" s="1" t="s">
        <v>53</v>
      </c>
      <c r="C37" s="1"/>
      <c r="D37" s="25">
        <v>0</v>
      </c>
      <c r="E37" s="25">
        <v>0</v>
      </c>
      <c r="F37" s="25">
        <v>0</v>
      </c>
      <c r="G37" s="25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</row>
    <row r="38" spans="1:13" ht="12.75" x14ac:dyDescent="0.2">
      <c r="A38" s="1" t="s">
        <v>63</v>
      </c>
      <c r="B38" s="1" t="s">
        <v>55</v>
      </c>
      <c r="C38" s="1"/>
      <c r="D38" s="25">
        <v>0</v>
      </c>
      <c r="E38" s="25">
        <v>0</v>
      </c>
      <c r="F38" s="25">
        <v>0</v>
      </c>
      <c r="G38" s="25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</row>
    <row r="39" spans="1:13" ht="12.75" x14ac:dyDescent="0.2">
      <c r="A39" s="1" t="s">
        <v>64</v>
      </c>
      <c r="B39" s="1" t="s">
        <v>57</v>
      </c>
      <c r="C39" s="1"/>
      <c r="D39" s="25">
        <v>0</v>
      </c>
      <c r="E39" s="25">
        <v>0</v>
      </c>
      <c r="F39" s="25">
        <v>0</v>
      </c>
      <c r="G39" s="25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</row>
    <row r="40" spans="1:13" ht="12.75" x14ac:dyDescent="0.2">
      <c r="A40" s="1" t="s">
        <v>65</v>
      </c>
      <c r="B40" s="1" t="s">
        <v>59</v>
      </c>
      <c r="C40" s="1"/>
      <c r="D40" s="25">
        <v>0</v>
      </c>
      <c r="E40" s="25">
        <v>0</v>
      </c>
      <c r="F40" s="25">
        <v>0</v>
      </c>
      <c r="G40" s="25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</row>
    <row r="41" spans="1:13" ht="12.75" x14ac:dyDescent="0.2">
      <c r="A41" s="1"/>
      <c r="B41" s="1" t="s">
        <v>66</v>
      </c>
      <c r="C41" s="1"/>
      <c r="D41" s="1"/>
      <c r="E41" s="1"/>
      <c r="F41" s="1"/>
      <c r="G41" s="1"/>
      <c r="H41" s="3"/>
      <c r="I41" s="3"/>
      <c r="J41" s="3"/>
      <c r="K41" s="3"/>
      <c r="L41" s="3"/>
      <c r="M41" s="3"/>
    </row>
    <row r="42" spans="1:13" ht="12.75" x14ac:dyDescent="0.2">
      <c r="A42" s="1" t="s">
        <v>67</v>
      </c>
      <c r="B42" s="1" t="s">
        <v>68</v>
      </c>
      <c r="C42" s="1"/>
      <c r="D42" s="25">
        <v>0</v>
      </c>
      <c r="E42" s="25">
        <v>0</v>
      </c>
      <c r="F42" s="25">
        <v>0</v>
      </c>
      <c r="G42" s="25">
        <v>0</v>
      </c>
      <c r="H42" s="2">
        <v>0</v>
      </c>
      <c r="I42" s="2">
        <v>0</v>
      </c>
      <c r="J42" s="2">
        <v>0</v>
      </c>
      <c r="K42" s="2">
        <v>60</v>
      </c>
      <c r="L42" s="2">
        <v>0</v>
      </c>
      <c r="M42" s="2">
        <v>0</v>
      </c>
    </row>
    <row r="43" spans="1:13" ht="12.75" x14ac:dyDescent="0.2">
      <c r="A43" s="1" t="s">
        <v>69</v>
      </c>
      <c r="B43" s="1" t="s">
        <v>70</v>
      </c>
      <c r="C43" s="1"/>
      <c r="D43" s="25">
        <v>0</v>
      </c>
      <c r="E43" s="25">
        <v>0</v>
      </c>
      <c r="F43" s="25">
        <v>0</v>
      </c>
      <c r="G43" s="25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ht="12.75" x14ac:dyDescent="0.2">
      <c r="A44" s="1"/>
      <c r="B44" s="1" t="s">
        <v>71</v>
      </c>
      <c r="C44" s="1"/>
      <c r="D44" s="1"/>
      <c r="E44" s="1"/>
      <c r="F44" s="1"/>
      <c r="G44" s="1"/>
      <c r="H44" s="3"/>
      <c r="I44" s="3"/>
      <c r="J44" s="3"/>
      <c r="K44" s="3"/>
      <c r="L44" s="3"/>
      <c r="M44" s="3"/>
    </row>
    <row r="45" spans="1:13" ht="12.75" x14ac:dyDescent="0.2">
      <c r="A45" s="1" t="s">
        <v>72</v>
      </c>
      <c r="B45" s="1" t="s">
        <v>73</v>
      </c>
      <c r="C45" s="1"/>
      <c r="D45" s="25">
        <v>15000</v>
      </c>
      <c r="E45" s="25">
        <v>0</v>
      </c>
      <c r="F45" s="25">
        <v>0</v>
      </c>
      <c r="G45" s="25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ht="12.75" x14ac:dyDescent="0.2">
      <c r="A46" s="1" t="s">
        <v>74</v>
      </c>
      <c r="B46" s="1" t="s">
        <v>75</v>
      </c>
      <c r="C46" s="1"/>
      <c r="D46" s="25">
        <v>0</v>
      </c>
      <c r="E46" s="25">
        <v>0</v>
      </c>
      <c r="F46" s="25">
        <v>0</v>
      </c>
      <c r="G46" s="25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ht="12.75" x14ac:dyDescent="0.2">
      <c r="A47" s="1" t="s">
        <v>76</v>
      </c>
      <c r="B47" s="1" t="s">
        <v>77</v>
      </c>
      <c r="C47" s="1"/>
      <c r="D47" s="1" t="s">
        <v>17</v>
      </c>
      <c r="E47" s="1" t="s">
        <v>78</v>
      </c>
      <c r="F47" s="1" t="s">
        <v>17</v>
      </c>
      <c r="G47" s="1" t="s">
        <v>17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79</v>
      </c>
      <c r="M47" s="2" t="s">
        <v>80</v>
      </c>
    </row>
    <row r="48" spans="1:13" ht="12.75" x14ac:dyDescent="0.2">
      <c r="A48" s="1" t="s">
        <v>81</v>
      </c>
      <c r="B48" s="1" t="s">
        <v>82</v>
      </c>
      <c r="C48" s="1"/>
      <c r="D48" s="25">
        <v>0</v>
      </c>
      <c r="E48" s="25">
        <v>0</v>
      </c>
      <c r="F48" s="25">
        <v>0</v>
      </c>
      <c r="G48" s="25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ht="12.75" x14ac:dyDescent="0.2">
      <c r="A49" s="1"/>
      <c r="B49" s="1" t="s">
        <v>83</v>
      </c>
      <c r="C49" s="1"/>
      <c r="D49" s="1"/>
      <c r="E49" s="1"/>
      <c r="F49" s="1"/>
      <c r="G49" s="1"/>
      <c r="H49" s="3"/>
      <c r="I49" s="3"/>
      <c r="J49" s="3"/>
      <c r="K49" s="3"/>
      <c r="L49" s="3"/>
      <c r="M49" s="3"/>
    </row>
    <row r="50" spans="1:13" ht="12.75" x14ac:dyDescent="0.2">
      <c r="A50" s="1" t="s">
        <v>84</v>
      </c>
      <c r="B50" s="1" t="s">
        <v>85</v>
      </c>
      <c r="C50" s="1"/>
      <c r="D50" s="25">
        <v>0</v>
      </c>
      <c r="E50" s="25">
        <v>0</v>
      </c>
      <c r="F50" s="25">
        <v>0</v>
      </c>
      <c r="G50" s="25">
        <v>0</v>
      </c>
      <c r="H50" s="2">
        <v>34380</v>
      </c>
      <c r="I50" s="2">
        <v>83490</v>
      </c>
      <c r="J50" s="2">
        <v>31500</v>
      </c>
      <c r="K50" s="2">
        <v>58010</v>
      </c>
      <c r="L50" s="2">
        <v>42500</v>
      </c>
      <c r="M50" s="2">
        <v>76800</v>
      </c>
    </row>
    <row r="51" spans="1:13" ht="12.75" x14ac:dyDescent="0.2">
      <c r="A51" s="1" t="s">
        <v>86</v>
      </c>
      <c r="B51" s="1" t="s">
        <v>87</v>
      </c>
      <c r="C51" s="1"/>
      <c r="D51" s="25">
        <v>0</v>
      </c>
      <c r="E51" s="25">
        <v>0</v>
      </c>
      <c r="F51" s="25">
        <v>0</v>
      </c>
      <c r="G51" s="25">
        <v>0</v>
      </c>
      <c r="H51" s="2">
        <v>-4911</v>
      </c>
      <c r="I51" s="2">
        <v>2850</v>
      </c>
      <c r="J51" s="2">
        <v>-10150</v>
      </c>
      <c r="K51" s="2">
        <v>1150</v>
      </c>
      <c r="L51" s="2">
        <v>2600</v>
      </c>
      <c r="M51" s="2">
        <v>2000</v>
      </c>
    </row>
    <row r="52" spans="1:13" ht="12.75" x14ac:dyDescent="0.2">
      <c r="A52" s="1" t="s">
        <v>88</v>
      </c>
      <c r="B52" s="1" t="s">
        <v>89</v>
      </c>
      <c r="C52" s="1"/>
      <c r="D52" s="25">
        <v>0</v>
      </c>
      <c r="E52" s="25">
        <v>0</v>
      </c>
      <c r="F52" s="25">
        <v>0</v>
      </c>
      <c r="G52" s="25">
        <v>0</v>
      </c>
      <c r="H52" s="2">
        <v>27559</v>
      </c>
      <c r="I52" s="2">
        <v>37820</v>
      </c>
      <c r="J52" s="2">
        <v>57189</v>
      </c>
      <c r="K52" s="2">
        <v>56914</v>
      </c>
      <c r="L52" s="2">
        <v>40650</v>
      </c>
      <c r="M52" s="2">
        <v>54602</v>
      </c>
    </row>
    <row r="53" spans="1:13" ht="12.75" x14ac:dyDescent="0.2">
      <c r="A53" s="1" t="s">
        <v>90</v>
      </c>
      <c r="B53" s="1" t="s">
        <v>91</v>
      </c>
      <c r="C53" s="1"/>
      <c r="D53" s="25">
        <v>0</v>
      </c>
      <c r="E53" s="25">
        <v>0</v>
      </c>
      <c r="F53" s="25">
        <v>0</v>
      </c>
      <c r="G53" s="25">
        <v>0</v>
      </c>
      <c r="H53" s="2">
        <v>34308</v>
      </c>
      <c r="I53" s="2">
        <v>38910</v>
      </c>
      <c r="J53" s="2">
        <v>60500</v>
      </c>
      <c r="K53" s="2">
        <v>56860</v>
      </c>
      <c r="L53" s="2">
        <v>40644</v>
      </c>
      <c r="M53" s="2">
        <v>54528</v>
      </c>
    </row>
    <row r="54" spans="1:13" ht="12.75" x14ac:dyDescent="0.2">
      <c r="A54" s="1"/>
      <c r="B54" s="1" t="s">
        <v>92</v>
      </c>
      <c r="C54" s="1"/>
      <c r="D54" s="1"/>
      <c r="E54" s="1"/>
      <c r="F54" s="1"/>
      <c r="G54" s="1"/>
    </row>
    <row r="55" spans="1:13" ht="12.75" x14ac:dyDescent="0.2">
      <c r="A55" s="1" t="s">
        <v>93</v>
      </c>
      <c r="B55" s="1" t="s">
        <v>94</v>
      </c>
      <c r="C55" s="1"/>
      <c r="D55" s="25">
        <v>0</v>
      </c>
      <c r="E55" s="25">
        <v>0</v>
      </c>
      <c r="F55" s="25">
        <v>0</v>
      </c>
      <c r="G55" s="25">
        <v>0</v>
      </c>
      <c r="H55" s="22">
        <v>0</v>
      </c>
      <c r="I55" s="22">
        <v>2000</v>
      </c>
      <c r="J55" s="22">
        <v>2000</v>
      </c>
      <c r="K55" s="22">
        <v>2000</v>
      </c>
      <c r="L55" s="22">
        <v>2000</v>
      </c>
      <c r="M55" s="22">
        <v>2000</v>
      </c>
    </row>
    <row r="56" spans="1:13" ht="12.75" x14ac:dyDescent="0.2">
      <c r="A56" s="1" t="s">
        <v>95</v>
      </c>
      <c r="B56" s="1" t="s">
        <v>96</v>
      </c>
      <c r="C56" s="1"/>
      <c r="D56" s="25">
        <v>0</v>
      </c>
      <c r="E56" s="25">
        <v>0</v>
      </c>
      <c r="F56" s="25">
        <v>0</v>
      </c>
      <c r="G56" s="25">
        <v>0</v>
      </c>
      <c r="H56" s="22">
        <v>0</v>
      </c>
      <c r="I56" s="22">
        <v>2000</v>
      </c>
      <c r="J56" s="22">
        <v>2000</v>
      </c>
      <c r="K56" s="22">
        <v>2000</v>
      </c>
      <c r="L56" s="22">
        <v>2000</v>
      </c>
      <c r="M56" s="22">
        <v>2000</v>
      </c>
    </row>
    <row r="57" spans="1:13" ht="12.75" x14ac:dyDescent="0.2">
      <c r="A57" s="1" t="s">
        <v>97</v>
      </c>
      <c r="B57" s="1" t="s">
        <v>98</v>
      </c>
      <c r="C57" s="1"/>
      <c r="D57" s="1" t="s">
        <v>34</v>
      </c>
      <c r="E57" s="1" t="s">
        <v>34</v>
      </c>
      <c r="F57" s="1" t="s">
        <v>34</v>
      </c>
      <c r="G57" s="1" t="s">
        <v>34</v>
      </c>
      <c r="H57" s="22" t="s">
        <v>34</v>
      </c>
      <c r="I57" s="22" t="s">
        <v>34</v>
      </c>
      <c r="J57" s="22" t="s">
        <v>34</v>
      </c>
      <c r="K57" s="22" t="s">
        <v>35</v>
      </c>
      <c r="L57" s="22" t="s">
        <v>35</v>
      </c>
      <c r="M57" s="22" t="s">
        <v>35</v>
      </c>
    </row>
    <row r="58" spans="1:13" ht="12.75" x14ac:dyDescent="0.2">
      <c r="A58" s="1"/>
      <c r="B58" s="1" t="s">
        <v>99</v>
      </c>
      <c r="C58" s="1"/>
      <c r="D58" s="1"/>
      <c r="E58" s="1"/>
      <c r="F58" s="1"/>
      <c r="G58" s="1"/>
    </row>
    <row r="59" spans="1:13" ht="12.75" x14ac:dyDescent="0.2">
      <c r="A59" s="1"/>
      <c r="B59" s="1" t="s">
        <v>100</v>
      </c>
      <c r="C59" s="1"/>
      <c r="D59" s="1"/>
      <c r="E59" s="1"/>
      <c r="F59" s="1"/>
      <c r="G59" s="1"/>
    </row>
  </sheetData>
  <conditionalFormatting sqref="H8:M10 H12:M15 H17:M19 H21:M23 H25:M27 H31:M31 H33:M33 H42:M43 H45:M48 H50:M53">
    <cfRule type="containsBlanks" dxfId="0" priority="1">
      <formula>LEN(TRIM(H8))=0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outlinePr summaryBelow="0" summaryRight="0"/>
  </sheetPr>
  <dimension ref="A1:AJ402"/>
  <sheetViews>
    <sheetView workbookViewId="0">
      <pane xSplit="2" ySplit="5" topLeftCell="C96" activePane="bottomRight" state="frozen"/>
      <selection pane="topRight" activeCell="C1" sqref="C1"/>
      <selection pane="bottomLeft" activeCell="A6" sqref="A6"/>
      <selection pane="bottomRight" activeCell="A112" sqref="A112:XFD112"/>
    </sheetView>
  </sheetViews>
  <sheetFormatPr baseColWidth="10" defaultColWidth="12.5703125" defaultRowHeight="15.75" customHeight="1" x14ac:dyDescent="0.2"/>
  <cols>
    <col min="1" max="1" width="12.5703125" hidden="1"/>
    <col min="2" max="2" width="51.5703125" bestFit="1" customWidth="1"/>
  </cols>
  <sheetData>
    <row r="1" spans="1:13" ht="12.75" hidden="1" x14ac:dyDescent="0.2">
      <c r="A1" s="1" t="s">
        <v>0</v>
      </c>
      <c r="B1" s="1"/>
      <c r="C1" s="1"/>
      <c r="D1" s="1"/>
      <c r="E1" s="1"/>
      <c r="F1" s="1"/>
      <c r="G1" s="1"/>
    </row>
    <row r="2" spans="1:13" ht="12.75" hidden="1" x14ac:dyDescent="0.2">
      <c r="A2" s="1" t="s">
        <v>101</v>
      </c>
      <c r="B2" s="1"/>
      <c r="C2" s="1"/>
      <c r="D2" s="1"/>
      <c r="E2" s="1"/>
      <c r="F2" s="1"/>
      <c r="G2" s="1"/>
    </row>
    <row r="3" spans="1:13" ht="12.75" hidden="1" x14ac:dyDescent="0.2">
      <c r="A3" s="1" t="s">
        <v>102</v>
      </c>
      <c r="B3" s="1"/>
      <c r="C3" s="1"/>
      <c r="D3" s="1"/>
      <c r="E3" s="1"/>
      <c r="F3" s="1"/>
      <c r="G3" s="1"/>
    </row>
    <row r="4" spans="1:13" ht="12.75" hidden="1" x14ac:dyDescent="0.2">
      <c r="A4" s="1"/>
      <c r="B4" s="1"/>
      <c r="C4" s="1"/>
      <c r="D4" s="1"/>
      <c r="E4" s="1"/>
      <c r="F4" s="1"/>
      <c r="G4" s="1"/>
    </row>
    <row r="5" spans="1:13" ht="12.75" x14ac:dyDescent="0.2">
      <c r="A5" s="1"/>
      <c r="B5" s="1" t="s">
        <v>3</v>
      </c>
      <c r="C5" s="1"/>
      <c r="D5" s="25">
        <v>-3</v>
      </c>
      <c r="E5" s="25">
        <v>-2</v>
      </c>
      <c r="F5" s="25">
        <v>-1</v>
      </c>
      <c r="G5" s="25">
        <v>0</v>
      </c>
      <c r="H5" s="22">
        <v>1</v>
      </c>
      <c r="I5" s="22">
        <v>2</v>
      </c>
      <c r="J5" s="22">
        <v>3</v>
      </c>
      <c r="K5" s="22">
        <v>4</v>
      </c>
      <c r="L5" s="22">
        <v>5</v>
      </c>
      <c r="M5" s="22">
        <v>6</v>
      </c>
    </row>
    <row r="6" spans="1:13" ht="12.75" x14ac:dyDescent="0.2">
      <c r="A6" s="1"/>
      <c r="B6" s="1"/>
      <c r="C6" s="1"/>
      <c r="D6" s="1"/>
      <c r="E6" s="1"/>
      <c r="F6" s="1"/>
      <c r="G6" s="1"/>
    </row>
    <row r="7" spans="1:13" ht="12.75" x14ac:dyDescent="0.2">
      <c r="A7" s="1"/>
      <c r="B7" s="1"/>
      <c r="C7" s="1"/>
      <c r="D7" s="1"/>
      <c r="E7" s="1"/>
      <c r="F7" s="1"/>
      <c r="G7" s="1"/>
    </row>
    <row r="8" spans="1:13" ht="12.75" x14ac:dyDescent="0.2">
      <c r="A8" s="1"/>
      <c r="B8" s="1" t="s">
        <v>103</v>
      </c>
      <c r="C8" s="1"/>
      <c r="D8" s="1"/>
      <c r="E8" s="1"/>
      <c r="F8" s="1"/>
      <c r="G8" s="1"/>
    </row>
    <row r="9" spans="1:13" ht="12.75" x14ac:dyDescent="0.2">
      <c r="A9" s="1"/>
      <c r="B9" s="1"/>
      <c r="C9" s="1"/>
      <c r="D9" s="1"/>
      <c r="E9" s="1"/>
      <c r="F9" s="1"/>
      <c r="G9" s="1"/>
    </row>
    <row r="10" spans="1:13" ht="12.75" x14ac:dyDescent="0.2">
      <c r="A10" s="1"/>
      <c r="B10" s="1" t="s">
        <v>104</v>
      </c>
      <c r="C10" s="1"/>
      <c r="D10" s="25">
        <v>37500</v>
      </c>
      <c r="E10" s="25">
        <v>75606</v>
      </c>
      <c r="F10" s="25">
        <v>45486</v>
      </c>
      <c r="G10" s="25">
        <v>27559</v>
      </c>
      <c r="H10" s="22">
        <v>37820</v>
      </c>
      <c r="I10" s="22">
        <v>57189</v>
      </c>
      <c r="J10" s="22">
        <v>43450</v>
      </c>
      <c r="K10" s="22">
        <v>37198</v>
      </c>
      <c r="L10" s="22">
        <v>38932</v>
      </c>
      <c r="M10" s="22">
        <v>78817</v>
      </c>
    </row>
    <row r="11" spans="1:13" ht="12.75" x14ac:dyDescent="0.2">
      <c r="A11" s="1"/>
      <c r="B11" s="1" t="s">
        <v>105</v>
      </c>
      <c r="C11" s="1"/>
      <c r="D11" s="25">
        <v>29813</v>
      </c>
      <c r="E11" s="25">
        <v>60853</v>
      </c>
      <c r="F11" s="25">
        <v>37008</v>
      </c>
      <c r="G11" s="25">
        <v>22460</v>
      </c>
      <c r="H11" s="22">
        <v>30562</v>
      </c>
      <c r="I11" s="22">
        <v>48696</v>
      </c>
      <c r="J11" s="22">
        <v>29921</v>
      </c>
      <c r="K11" s="22">
        <v>25948</v>
      </c>
      <c r="L11" s="22">
        <v>28668</v>
      </c>
      <c r="M11" s="22">
        <v>53867</v>
      </c>
    </row>
    <row r="12" spans="1:13" ht="12.75" x14ac:dyDescent="0.2">
      <c r="A12" s="1"/>
      <c r="B12" s="1" t="s">
        <v>106</v>
      </c>
      <c r="C12" s="1"/>
      <c r="D12" s="25">
        <v>17000</v>
      </c>
      <c r="E12" s="25">
        <v>17000</v>
      </c>
      <c r="F12" s="25">
        <v>17000</v>
      </c>
      <c r="G12" s="25">
        <v>17000</v>
      </c>
      <c r="H12" s="22">
        <v>16250</v>
      </c>
      <c r="I12" s="22">
        <v>15631</v>
      </c>
      <c r="J12" s="22">
        <v>15737</v>
      </c>
      <c r="K12" s="22">
        <v>16092</v>
      </c>
      <c r="L12" s="22">
        <v>22934</v>
      </c>
      <c r="M12" s="22">
        <v>17205</v>
      </c>
    </row>
    <row r="13" spans="1:13" ht="12.75" x14ac:dyDescent="0.2">
      <c r="A13" s="1"/>
      <c r="B13" s="1" t="s">
        <v>107</v>
      </c>
      <c r="C13" s="1"/>
      <c r="D13" s="25">
        <v>9250</v>
      </c>
      <c r="E13" s="25">
        <v>9250</v>
      </c>
      <c r="F13" s="25">
        <v>9250</v>
      </c>
      <c r="G13" s="25">
        <v>9250</v>
      </c>
      <c r="H13" s="22">
        <v>9250</v>
      </c>
      <c r="I13" s="22">
        <v>11894</v>
      </c>
      <c r="J13" s="22">
        <v>11275</v>
      </c>
      <c r="K13" s="22">
        <v>12726</v>
      </c>
      <c r="L13" s="22">
        <v>12681</v>
      </c>
      <c r="M13" s="22">
        <v>11781</v>
      </c>
    </row>
    <row r="14" spans="1:13" ht="12.75" x14ac:dyDescent="0.2">
      <c r="A14" s="1"/>
      <c r="B14" s="1" t="s">
        <v>108</v>
      </c>
      <c r="C14" s="1"/>
      <c r="D14" s="25">
        <v>7500</v>
      </c>
      <c r="E14" s="25">
        <v>7500</v>
      </c>
      <c r="F14" s="25">
        <v>7500</v>
      </c>
      <c r="G14" s="25">
        <v>7500</v>
      </c>
      <c r="H14" s="22">
        <v>7500</v>
      </c>
      <c r="I14" s="22">
        <v>7500</v>
      </c>
      <c r="J14" s="22">
        <v>7500</v>
      </c>
      <c r="K14" s="22">
        <v>7950</v>
      </c>
      <c r="L14" s="22">
        <v>7950</v>
      </c>
      <c r="M14" s="22">
        <v>7950</v>
      </c>
    </row>
    <row r="15" spans="1:13" ht="12.75" x14ac:dyDescent="0.2">
      <c r="A15" s="1"/>
      <c r="B15" s="1" t="s">
        <v>109</v>
      </c>
      <c r="C15" s="1"/>
      <c r="D15" s="25">
        <v>0</v>
      </c>
      <c r="E15" s="25">
        <v>0</v>
      </c>
      <c r="F15" s="25">
        <v>0</v>
      </c>
      <c r="G15" s="25">
        <v>0</v>
      </c>
      <c r="H15" s="22">
        <v>0</v>
      </c>
      <c r="I15" s="22">
        <v>2644</v>
      </c>
      <c r="J15" s="22">
        <v>2025</v>
      </c>
      <c r="K15" s="22">
        <v>2981</v>
      </c>
      <c r="L15" s="22">
        <v>2981</v>
      </c>
      <c r="M15" s="22">
        <v>2081</v>
      </c>
    </row>
    <row r="16" spans="1:13" ht="12.75" x14ac:dyDescent="0.2">
      <c r="A16" s="1"/>
      <c r="B16" s="1" t="s">
        <v>110</v>
      </c>
      <c r="C16" s="1"/>
      <c r="D16" s="25">
        <v>0</v>
      </c>
      <c r="E16" s="25">
        <v>0</v>
      </c>
      <c r="F16" s="25">
        <v>0</v>
      </c>
      <c r="G16" s="25">
        <v>0</v>
      </c>
      <c r="H16" s="22">
        <v>0</v>
      </c>
      <c r="I16" s="22">
        <v>0</v>
      </c>
      <c r="J16" s="22">
        <v>0</v>
      </c>
      <c r="K16" s="22">
        <v>45</v>
      </c>
      <c r="L16" s="22">
        <v>0</v>
      </c>
      <c r="M16" s="22">
        <v>0</v>
      </c>
    </row>
    <row r="17" spans="2:15" ht="12.75" x14ac:dyDescent="0.2">
      <c r="B17" s="1" t="s">
        <v>111</v>
      </c>
      <c r="C17" s="1"/>
      <c r="D17" s="25">
        <v>0</v>
      </c>
      <c r="E17" s="25">
        <v>0</v>
      </c>
      <c r="F17" s="25">
        <v>0</v>
      </c>
      <c r="G17" s="25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</row>
    <row r="18" spans="2:15" ht="12.75" x14ac:dyDescent="0.2">
      <c r="B18" s="1" t="s">
        <v>112</v>
      </c>
      <c r="C18" s="1"/>
      <c r="D18" s="25">
        <v>1750</v>
      </c>
      <c r="E18" s="25">
        <v>1750</v>
      </c>
      <c r="F18" s="25">
        <v>1750</v>
      </c>
      <c r="G18" s="25">
        <v>1750</v>
      </c>
      <c r="H18" s="22">
        <v>1750</v>
      </c>
      <c r="I18" s="22">
        <v>1750</v>
      </c>
      <c r="J18" s="22">
        <v>1750</v>
      </c>
      <c r="K18" s="22">
        <v>1750</v>
      </c>
      <c r="L18" s="22">
        <v>1750</v>
      </c>
      <c r="M18" s="22">
        <v>1750</v>
      </c>
    </row>
    <row r="19" spans="2:15" ht="12.75" x14ac:dyDescent="0.2">
      <c r="B19" s="1" t="s">
        <v>113</v>
      </c>
      <c r="C19" s="1"/>
      <c r="D19" s="25">
        <v>5000</v>
      </c>
      <c r="E19" s="25">
        <v>5000</v>
      </c>
      <c r="F19" s="25">
        <v>5000</v>
      </c>
      <c r="G19" s="25">
        <v>5000</v>
      </c>
      <c r="H19" s="22">
        <v>5000</v>
      </c>
      <c r="I19" s="22">
        <v>5453</v>
      </c>
      <c r="J19" s="22">
        <v>4827</v>
      </c>
      <c r="K19" s="22">
        <v>5289</v>
      </c>
      <c r="L19" s="22">
        <v>4872</v>
      </c>
      <c r="M19" s="22">
        <v>4537</v>
      </c>
    </row>
    <row r="20" spans="2:15" ht="12.75" x14ac:dyDescent="0.2">
      <c r="B20" s="1" t="s">
        <v>114</v>
      </c>
      <c r="C20" s="1"/>
      <c r="D20" s="25">
        <v>100</v>
      </c>
      <c r="E20" s="25">
        <v>100</v>
      </c>
      <c r="F20" s="25">
        <v>100</v>
      </c>
      <c r="G20" s="25">
        <v>100</v>
      </c>
      <c r="H20" s="22">
        <v>100</v>
      </c>
      <c r="I20" s="22">
        <v>200</v>
      </c>
      <c r="J20" s="22">
        <v>200</v>
      </c>
      <c r="K20" s="22">
        <v>200</v>
      </c>
      <c r="L20" s="22">
        <v>200</v>
      </c>
      <c r="M20" s="22">
        <v>200</v>
      </c>
    </row>
    <row r="21" spans="2:15" ht="12.75" x14ac:dyDescent="0.2">
      <c r="B21" s="1" t="s">
        <v>115</v>
      </c>
      <c r="C21" s="1"/>
      <c r="D21" s="25">
        <v>1250</v>
      </c>
      <c r="E21" s="25">
        <v>1250</v>
      </c>
      <c r="F21" s="25">
        <v>1250</v>
      </c>
      <c r="G21" s="25">
        <v>1250</v>
      </c>
      <c r="H21" s="22">
        <v>1250</v>
      </c>
      <c r="I21" s="22">
        <v>1350</v>
      </c>
      <c r="J21" s="22">
        <v>1475</v>
      </c>
      <c r="K21" s="22">
        <v>1575</v>
      </c>
      <c r="L21" s="22">
        <v>1700</v>
      </c>
      <c r="M21" s="22">
        <v>1700</v>
      </c>
    </row>
    <row r="22" spans="2:15" ht="12.75" x14ac:dyDescent="0.2">
      <c r="B22" s="1" t="s">
        <v>116</v>
      </c>
      <c r="C22" s="1"/>
      <c r="D22" s="25">
        <v>-2787</v>
      </c>
      <c r="E22" s="25">
        <v>28253</v>
      </c>
      <c r="F22" s="25">
        <v>4408</v>
      </c>
      <c r="G22" s="25">
        <v>-10140</v>
      </c>
      <c r="H22" s="22">
        <v>-1288</v>
      </c>
      <c r="I22" s="22">
        <v>12167</v>
      </c>
      <c r="J22" s="22">
        <v>-5592</v>
      </c>
      <c r="K22" s="22">
        <v>-11934</v>
      </c>
      <c r="L22" s="22">
        <v>-15720</v>
      </c>
      <c r="M22" s="22">
        <v>16444</v>
      </c>
    </row>
    <row r="23" spans="2:15" ht="12.75" x14ac:dyDescent="0.2">
      <c r="B23" s="1" t="s">
        <v>117</v>
      </c>
      <c r="C23" s="1"/>
      <c r="D23" s="25">
        <v>7687</v>
      </c>
      <c r="E23" s="25">
        <v>14752</v>
      </c>
      <c r="F23" s="25">
        <v>8478</v>
      </c>
      <c r="G23" s="25">
        <v>5099</v>
      </c>
      <c r="H23" s="22">
        <v>7258</v>
      </c>
      <c r="I23" s="22">
        <v>8494</v>
      </c>
      <c r="J23" s="22">
        <v>13529</v>
      </c>
      <c r="K23" s="22">
        <v>11250</v>
      </c>
      <c r="L23" s="22">
        <v>10265</v>
      </c>
      <c r="M23" s="22">
        <v>24950</v>
      </c>
    </row>
    <row r="24" spans="2:15" ht="12.75" x14ac:dyDescent="0.2">
      <c r="B24" s="1" t="s">
        <v>118</v>
      </c>
      <c r="C24" s="1"/>
      <c r="D24" s="25">
        <v>2000</v>
      </c>
      <c r="E24" s="25">
        <v>2500</v>
      </c>
      <c r="F24" s="25">
        <v>2100</v>
      </c>
      <c r="G24" s="25">
        <v>2100</v>
      </c>
      <c r="H24" s="22">
        <v>2200</v>
      </c>
      <c r="I24" s="22">
        <v>2500</v>
      </c>
      <c r="J24" s="22">
        <v>2500</v>
      </c>
      <c r="K24" s="22">
        <v>2500</v>
      </c>
      <c r="L24" s="22">
        <v>2600</v>
      </c>
      <c r="M24" s="22">
        <v>3700</v>
      </c>
    </row>
    <row r="25" spans="2:15" ht="12.75" x14ac:dyDescent="0.2">
      <c r="B25" s="1" t="s">
        <v>119</v>
      </c>
      <c r="C25" s="1"/>
      <c r="D25" s="25">
        <v>625</v>
      </c>
      <c r="E25" s="25">
        <v>625</v>
      </c>
      <c r="F25" s="25">
        <v>625</v>
      </c>
      <c r="G25" s="25">
        <v>625</v>
      </c>
      <c r="H25" s="22">
        <v>625</v>
      </c>
      <c r="I25" s="22">
        <v>625</v>
      </c>
      <c r="J25" s="22">
        <v>625</v>
      </c>
      <c r="K25" s="22">
        <v>625</v>
      </c>
      <c r="L25" s="22">
        <v>625</v>
      </c>
      <c r="M25" s="22">
        <v>625</v>
      </c>
    </row>
    <row r="26" spans="2:15" ht="12.75" x14ac:dyDescent="0.2">
      <c r="B26" s="1" t="s">
        <v>120</v>
      </c>
      <c r="C26" s="1"/>
      <c r="D26" s="25">
        <v>375</v>
      </c>
      <c r="E26" s="25">
        <v>375</v>
      </c>
      <c r="F26" s="25">
        <v>375</v>
      </c>
      <c r="G26" s="25">
        <v>375</v>
      </c>
      <c r="H26" s="22">
        <v>375</v>
      </c>
      <c r="I26" s="22">
        <v>375</v>
      </c>
      <c r="J26" s="22">
        <v>375</v>
      </c>
      <c r="K26" s="22">
        <v>375</v>
      </c>
      <c r="L26" s="22">
        <v>375</v>
      </c>
      <c r="M26" s="22">
        <v>375</v>
      </c>
    </row>
    <row r="27" spans="2:15" ht="12.75" x14ac:dyDescent="0.2">
      <c r="B27" s="1" t="s">
        <v>121</v>
      </c>
      <c r="C27" s="1"/>
      <c r="D27" s="25">
        <v>500</v>
      </c>
      <c r="E27" s="25">
        <v>500</v>
      </c>
      <c r="F27" s="25">
        <v>500</v>
      </c>
      <c r="G27" s="25">
        <v>500</v>
      </c>
      <c r="H27" s="22">
        <v>500</v>
      </c>
      <c r="I27" s="22">
        <v>500</v>
      </c>
      <c r="J27" s="22">
        <v>500</v>
      </c>
      <c r="K27" s="22">
        <v>500</v>
      </c>
      <c r="L27" s="22">
        <v>500</v>
      </c>
      <c r="M27" s="22">
        <v>500</v>
      </c>
    </row>
    <row r="28" spans="2:15" ht="12.75" x14ac:dyDescent="0.2">
      <c r="B28" s="1" t="s">
        <v>122</v>
      </c>
      <c r="C28" s="1"/>
      <c r="D28" s="25">
        <v>500</v>
      </c>
      <c r="E28" s="25">
        <v>1000</v>
      </c>
      <c r="F28" s="25">
        <v>600</v>
      </c>
      <c r="G28" s="25">
        <v>600</v>
      </c>
      <c r="H28" s="22">
        <v>700</v>
      </c>
      <c r="I28" s="22">
        <v>1000</v>
      </c>
      <c r="J28" s="22">
        <v>1000</v>
      </c>
      <c r="K28" s="22">
        <v>1000</v>
      </c>
      <c r="L28" s="22">
        <v>1100</v>
      </c>
      <c r="M28" s="22">
        <v>2200</v>
      </c>
    </row>
    <row r="29" spans="2:15" ht="12.75" x14ac:dyDescent="0.2">
      <c r="B29" s="1" t="s">
        <v>123</v>
      </c>
      <c r="C29" s="1"/>
      <c r="D29" s="25">
        <v>3500</v>
      </c>
      <c r="E29" s="25">
        <v>4260</v>
      </c>
      <c r="F29" s="25">
        <v>3250</v>
      </c>
      <c r="G29" s="25">
        <v>2929</v>
      </c>
      <c r="H29" s="22">
        <v>2720</v>
      </c>
      <c r="I29" s="22">
        <v>4892</v>
      </c>
      <c r="J29" s="22">
        <v>4932</v>
      </c>
      <c r="K29" s="22">
        <v>6213</v>
      </c>
      <c r="L29" s="22">
        <v>4989</v>
      </c>
      <c r="M29" s="22">
        <v>5262</v>
      </c>
    </row>
    <row r="30" spans="2:15" ht="12.75" x14ac:dyDescent="0.2">
      <c r="B30" s="1" t="s">
        <v>124</v>
      </c>
      <c r="C30" s="1"/>
      <c r="D30" s="25">
        <v>1000</v>
      </c>
      <c r="E30" s="25">
        <v>1000</v>
      </c>
      <c r="F30" s="25">
        <v>1000</v>
      </c>
      <c r="G30" s="25">
        <v>1000</v>
      </c>
      <c r="H30" s="22">
        <v>1000</v>
      </c>
      <c r="I30" s="22">
        <v>1000</v>
      </c>
      <c r="J30" s="22">
        <v>1000</v>
      </c>
      <c r="K30" s="22">
        <v>1000</v>
      </c>
      <c r="L30" s="22">
        <v>1000</v>
      </c>
      <c r="M30" s="22">
        <v>1000</v>
      </c>
    </row>
    <row r="31" spans="2:15" ht="12.75" x14ac:dyDescent="0.2">
      <c r="B31" s="1" t="s">
        <v>125</v>
      </c>
      <c r="C31" s="1"/>
      <c r="D31" s="25">
        <v>2000</v>
      </c>
      <c r="E31" s="25">
        <v>2000</v>
      </c>
      <c r="F31" s="25">
        <v>2000</v>
      </c>
      <c r="G31" s="25">
        <v>2000</v>
      </c>
      <c r="H31" s="22">
        <v>2000</v>
      </c>
      <c r="I31" s="22">
        <v>2000</v>
      </c>
      <c r="J31" s="22">
        <v>2000</v>
      </c>
      <c r="K31" s="22">
        <v>2000</v>
      </c>
      <c r="L31" s="22">
        <v>2000</v>
      </c>
      <c r="M31" s="22">
        <v>2000</v>
      </c>
    </row>
    <row r="32" spans="2:15" ht="12.75" x14ac:dyDescent="0.2">
      <c r="B32" s="1" t="s">
        <v>126</v>
      </c>
      <c r="C32" s="1"/>
      <c r="D32" s="25">
        <v>500</v>
      </c>
      <c r="E32" s="25">
        <v>1260</v>
      </c>
      <c r="F32" s="25">
        <v>250</v>
      </c>
      <c r="G32" s="25">
        <v>-71</v>
      </c>
      <c r="H32" s="22">
        <v>-300</v>
      </c>
      <c r="I32" s="22">
        <v>-128</v>
      </c>
      <c r="J32" s="22">
        <v>-88</v>
      </c>
      <c r="K32" s="22">
        <v>-317</v>
      </c>
      <c r="L32" s="22">
        <v>-41</v>
      </c>
      <c r="M32" s="22">
        <v>12</v>
      </c>
      <c r="O32" s="22" t="s">
        <v>127</v>
      </c>
    </row>
    <row r="33" spans="2:13" ht="12.75" x14ac:dyDescent="0.2">
      <c r="B33" s="1" t="s">
        <v>128</v>
      </c>
      <c r="C33" s="1"/>
      <c r="D33" s="25">
        <v>0</v>
      </c>
      <c r="E33" s="25">
        <v>0</v>
      </c>
      <c r="F33" s="25">
        <v>0</v>
      </c>
      <c r="G33" s="25">
        <v>0</v>
      </c>
      <c r="H33" s="22">
        <v>20</v>
      </c>
      <c r="I33" s="22">
        <v>2020</v>
      </c>
      <c r="J33" s="22">
        <v>2020</v>
      </c>
      <c r="K33" s="22">
        <v>3530</v>
      </c>
      <c r="L33" s="22">
        <v>2030</v>
      </c>
      <c r="M33" s="22">
        <v>2250</v>
      </c>
    </row>
    <row r="34" spans="2:13" ht="12.75" x14ac:dyDescent="0.2">
      <c r="B34" s="1" t="s">
        <v>129</v>
      </c>
      <c r="C34" s="1"/>
      <c r="D34" s="25">
        <v>2187</v>
      </c>
      <c r="E34" s="25">
        <v>7992</v>
      </c>
      <c r="F34" s="25">
        <v>3128</v>
      </c>
      <c r="G34" s="25">
        <v>70</v>
      </c>
      <c r="H34" s="22">
        <v>2338</v>
      </c>
      <c r="I34" s="22">
        <v>1102</v>
      </c>
      <c r="J34" s="22">
        <v>6097</v>
      </c>
      <c r="K34" s="22">
        <v>2537</v>
      </c>
      <c r="L34" s="22">
        <v>2676</v>
      </c>
      <c r="M34" s="22">
        <v>15987</v>
      </c>
    </row>
    <row r="35" spans="2:13" ht="12.75" x14ac:dyDescent="0.2">
      <c r="B35" s="1" t="s">
        <v>130</v>
      </c>
      <c r="C35" s="1"/>
      <c r="D35" s="25">
        <v>0</v>
      </c>
      <c r="E35" s="25">
        <v>0</v>
      </c>
      <c r="F35" s="25">
        <v>0</v>
      </c>
      <c r="G35" s="25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</row>
    <row r="36" spans="2:13" ht="12.75" x14ac:dyDescent="0.2">
      <c r="B36" s="1" t="s">
        <v>131</v>
      </c>
      <c r="C36" s="1"/>
      <c r="D36" s="25">
        <v>1094</v>
      </c>
      <c r="E36" s="25">
        <v>2637</v>
      </c>
      <c r="F36" s="25">
        <v>1032</v>
      </c>
      <c r="G36" s="25">
        <v>23</v>
      </c>
      <c r="H36" s="22">
        <v>772</v>
      </c>
      <c r="I36" s="22">
        <v>364</v>
      </c>
      <c r="J36" s="22">
        <v>2012</v>
      </c>
      <c r="K36" s="22">
        <v>837</v>
      </c>
      <c r="L36" s="22">
        <v>883</v>
      </c>
      <c r="M36" s="22">
        <v>5276</v>
      </c>
    </row>
    <row r="37" spans="2:13" ht="12.75" x14ac:dyDescent="0.2">
      <c r="B37" s="1" t="s">
        <v>132</v>
      </c>
      <c r="C37" s="1"/>
      <c r="D37" s="25">
        <v>0</v>
      </c>
      <c r="E37" s="25">
        <v>0</v>
      </c>
      <c r="F37" s="25">
        <v>0</v>
      </c>
      <c r="G37" s="25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</row>
    <row r="38" spans="2:13" ht="12.75" x14ac:dyDescent="0.2">
      <c r="B38" s="1" t="s">
        <v>133</v>
      </c>
      <c r="C38" s="1"/>
      <c r="D38" s="25">
        <v>1094</v>
      </c>
      <c r="E38" s="25">
        <v>5355</v>
      </c>
      <c r="F38" s="25">
        <v>2096</v>
      </c>
      <c r="G38" s="25">
        <v>47</v>
      </c>
      <c r="H38" s="22">
        <v>1566</v>
      </c>
      <c r="I38" s="22">
        <v>738</v>
      </c>
      <c r="J38" s="22">
        <v>4085</v>
      </c>
      <c r="K38" s="22">
        <v>1700</v>
      </c>
      <c r="L38" s="22">
        <v>1793</v>
      </c>
      <c r="M38" s="22">
        <v>10711</v>
      </c>
    </row>
    <row r="39" spans="2:13" ht="12.75" x14ac:dyDescent="0.2">
      <c r="B39" s="1" t="s">
        <v>134</v>
      </c>
      <c r="C39" s="1"/>
      <c r="D39" s="25">
        <v>0</v>
      </c>
      <c r="E39" s="25">
        <v>0</v>
      </c>
      <c r="F39" s="25">
        <v>0</v>
      </c>
      <c r="G39" s="25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</row>
    <row r="40" spans="2:13" ht="12.75" x14ac:dyDescent="0.2">
      <c r="B40" s="1" t="s">
        <v>135</v>
      </c>
      <c r="C40" s="1"/>
      <c r="D40" s="25">
        <v>1094</v>
      </c>
      <c r="E40" s="25">
        <v>5355</v>
      </c>
      <c r="F40" s="25">
        <v>2096</v>
      </c>
      <c r="G40" s="25">
        <v>47</v>
      </c>
      <c r="H40" s="22">
        <v>1566</v>
      </c>
      <c r="I40" s="22">
        <v>738</v>
      </c>
      <c r="J40" s="22">
        <v>4085</v>
      </c>
      <c r="K40" s="22">
        <v>1700</v>
      </c>
      <c r="L40" s="22">
        <v>1793</v>
      </c>
      <c r="M40" s="22">
        <v>10711</v>
      </c>
    </row>
    <row r="41" spans="2:13" ht="12.75" x14ac:dyDescent="0.2">
      <c r="B41" s="1"/>
      <c r="C41" s="1"/>
      <c r="D41" s="1"/>
      <c r="E41" s="1"/>
      <c r="F41" s="1"/>
      <c r="G41" s="1"/>
    </row>
    <row r="42" spans="2:13" ht="12.75" x14ac:dyDescent="0.2">
      <c r="B42" s="1" t="s">
        <v>136</v>
      </c>
      <c r="C42" s="1"/>
      <c r="D42" s="1"/>
      <c r="E42" s="1"/>
      <c r="F42" s="1"/>
      <c r="G42" s="1"/>
    </row>
    <row r="43" spans="2:13" ht="12.75" x14ac:dyDescent="0.2">
      <c r="B43" s="1"/>
      <c r="C43" s="1"/>
      <c r="D43" s="1"/>
      <c r="E43" s="1"/>
      <c r="F43" s="1"/>
      <c r="G43" s="1"/>
    </row>
    <row r="44" spans="2:13" ht="12.75" x14ac:dyDescent="0.2">
      <c r="B44" s="1" t="s">
        <v>137</v>
      </c>
      <c r="C44" s="1"/>
      <c r="D44" s="25">
        <v>15000</v>
      </c>
      <c r="E44" s="25">
        <v>13750</v>
      </c>
      <c r="F44" s="25">
        <v>12500</v>
      </c>
      <c r="G44" s="25">
        <v>11250</v>
      </c>
      <c r="H44" s="22">
        <v>10000</v>
      </c>
      <c r="I44" s="22">
        <v>8750</v>
      </c>
      <c r="J44" s="22">
        <v>9875</v>
      </c>
      <c r="K44" s="22">
        <v>8500</v>
      </c>
      <c r="L44" s="22">
        <v>9500</v>
      </c>
      <c r="M44" s="22">
        <v>8000</v>
      </c>
    </row>
    <row r="45" spans="2:13" ht="12.75" x14ac:dyDescent="0.2">
      <c r="B45" s="1" t="s">
        <v>138</v>
      </c>
      <c r="C45" s="1"/>
      <c r="D45" s="25">
        <v>0</v>
      </c>
      <c r="E45" s="25">
        <v>0</v>
      </c>
      <c r="F45" s="25">
        <v>0</v>
      </c>
      <c r="G45" s="25">
        <v>0</v>
      </c>
      <c r="H45" s="22">
        <v>0</v>
      </c>
      <c r="I45" s="22">
        <v>1900</v>
      </c>
      <c r="J45" s="22">
        <v>1800</v>
      </c>
      <c r="K45" s="22">
        <v>3600</v>
      </c>
      <c r="L45" s="22">
        <v>3400</v>
      </c>
      <c r="M45" s="22">
        <v>3200</v>
      </c>
    </row>
    <row r="46" spans="2:13" ht="12.75" x14ac:dyDescent="0.2">
      <c r="B46" s="1" t="s">
        <v>139</v>
      </c>
      <c r="C46" s="1"/>
      <c r="D46" s="25">
        <v>7875</v>
      </c>
      <c r="E46" s="25">
        <v>8313</v>
      </c>
      <c r="F46" s="25">
        <v>7063</v>
      </c>
      <c r="G46" s="25">
        <v>6188</v>
      </c>
      <c r="H46" s="22">
        <v>563</v>
      </c>
      <c r="I46" s="22">
        <v>2556</v>
      </c>
      <c r="J46" s="22">
        <v>9440</v>
      </c>
      <c r="K46" s="22">
        <v>973</v>
      </c>
      <c r="L46" s="22">
        <v>1383</v>
      </c>
      <c r="M46" s="22">
        <v>325</v>
      </c>
    </row>
    <row r="47" spans="2:13" ht="12.75" x14ac:dyDescent="0.2">
      <c r="B47" s="1" t="s">
        <v>140</v>
      </c>
      <c r="C47" s="1"/>
      <c r="D47" s="25">
        <v>33400</v>
      </c>
      <c r="E47" s="25">
        <v>5147</v>
      </c>
      <c r="F47" s="25">
        <v>739</v>
      </c>
      <c r="G47" s="25">
        <v>10879</v>
      </c>
      <c r="H47" s="22">
        <v>12167</v>
      </c>
      <c r="I47" s="22">
        <v>0</v>
      </c>
      <c r="J47" s="22">
        <v>5592</v>
      </c>
      <c r="K47" s="22">
        <v>17526</v>
      </c>
      <c r="L47" s="22">
        <v>33246</v>
      </c>
      <c r="M47" s="22">
        <v>16802</v>
      </c>
    </row>
    <row r="48" spans="2:13" ht="12.75" x14ac:dyDescent="0.2">
      <c r="B48" s="1" t="s">
        <v>141</v>
      </c>
      <c r="C48" s="1"/>
      <c r="D48" s="25">
        <v>37500</v>
      </c>
      <c r="E48" s="25">
        <v>52924</v>
      </c>
      <c r="F48" s="25">
        <v>45486</v>
      </c>
      <c r="G48" s="25">
        <v>27559</v>
      </c>
      <c r="H48" s="22">
        <v>37820</v>
      </c>
      <c r="I48" s="22">
        <v>57189</v>
      </c>
      <c r="J48" s="22">
        <v>43450</v>
      </c>
      <c r="K48" s="22">
        <v>37198</v>
      </c>
      <c r="L48" s="22">
        <v>38154</v>
      </c>
      <c r="M48" s="22">
        <v>74088</v>
      </c>
    </row>
    <row r="49" spans="2:13" ht="12.75" x14ac:dyDescent="0.2">
      <c r="B49" s="1" t="s">
        <v>142</v>
      </c>
      <c r="C49" s="1"/>
      <c r="D49" s="25">
        <v>1050</v>
      </c>
      <c r="E49" s="25">
        <v>46</v>
      </c>
      <c r="F49" s="25">
        <v>9800</v>
      </c>
      <c r="G49" s="25">
        <v>15134</v>
      </c>
      <c r="H49" s="22">
        <v>6527</v>
      </c>
      <c r="I49" s="22">
        <v>4419</v>
      </c>
      <c r="J49" s="22">
        <v>13355</v>
      </c>
      <c r="K49" s="22">
        <v>2628</v>
      </c>
      <c r="L49" s="22">
        <v>2428</v>
      </c>
      <c r="M49" s="22">
        <v>0</v>
      </c>
    </row>
    <row r="50" spans="2:13" ht="12.75" x14ac:dyDescent="0.2">
      <c r="B50" s="1" t="s">
        <v>143</v>
      </c>
      <c r="C50" s="1"/>
      <c r="D50" s="25">
        <v>94825</v>
      </c>
      <c r="E50" s="25">
        <v>80180</v>
      </c>
      <c r="F50" s="25">
        <v>75588</v>
      </c>
      <c r="G50" s="25">
        <v>71010</v>
      </c>
      <c r="H50" s="22">
        <v>67077</v>
      </c>
      <c r="I50" s="22">
        <v>74815</v>
      </c>
      <c r="J50" s="22">
        <v>83512</v>
      </c>
      <c r="K50" s="22">
        <v>70426</v>
      </c>
      <c r="L50" s="22">
        <v>88111</v>
      </c>
      <c r="M50" s="22">
        <v>102415</v>
      </c>
    </row>
    <row r="51" spans="2:13" ht="12.75" x14ac:dyDescent="0.2">
      <c r="B51" s="1" t="s">
        <v>144</v>
      </c>
      <c r="C51" s="1"/>
      <c r="D51" s="25">
        <v>47387</v>
      </c>
      <c r="E51" s="25">
        <v>52742</v>
      </c>
      <c r="F51" s="25">
        <v>54838</v>
      </c>
      <c r="G51" s="25">
        <v>54885</v>
      </c>
      <c r="H51" s="22">
        <v>56452</v>
      </c>
      <c r="I51" s="22">
        <v>57190</v>
      </c>
      <c r="J51" s="22">
        <v>61275</v>
      </c>
      <c r="K51" s="22">
        <v>62974</v>
      </c>
      <c r="L51" s="22">
        <v>64767</v>
      </c>
      <c r="M51" s="22">
        <v>75479</v>
      </c>
    </row>
    <row r="52" spans="2:13" ht="12.75" x14ac:dyDescent="0.2">
      <c r="B52" s="1" t="s">
        <v>145</v>
      </c>
      <c r="C52" s="1"/>
      <c r="D52" s="25">
        <v>40000</v>
      </c>
      <c r="E52" s="25">
        <v>40000</v>
      </c>
      <c r="F52" s="25">
        <v>40000</v>
      </c>
      <c r="G52" s="25">
        <v>40000</v>
      </c>
      <c r="H52" s="22">
        <v>40000</v>
      </c>
      <c r="I52" s="22">
        <v>40000</v>
      </c>
      <c r="J52" s="22">
        <v>40000</v>
      </c>
      <c r="K52" s="22">
        <v>40000</v>
      </c>
      <c r="L52" s="22">
        <v>40000</v>
      </c>
      <c r="M52" s="22">
        <v>40000</v>
      </c>
    </row>
    <row r="53" spans="2:13" ht="12.75" x14ac:dyDescent="0.2">
      <c r="B53" s="1" t="s">
        <v>146</v>
      </c>
      <c r="C53" s="1"/>
      <c r="D53" s="25">
        <v>0</v>
      </c>
      <c r="E53" s="25">
        <v>0</v>
      </c>
      <c r="F53" s="25">
        <v>0</v>
      </c>
      <c r="G53" s="25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</row>
    <row r="54" spans="2:13" ht="12.75" x14ac:dyDescent="0.2">
      <c r="B54" s="1" t="s">
        <v>147</v>
      </c>
      <c r="C54" s="1"/>
      <c r="D54" s="25">
        <v>6294</v>
      </c>
      <c r="E54" s="25">
        <v>7387</v>
      </c>
      <c r="F54" s="25">
        <v>12742</v>
      </c>
      <c r="G54" s="25">
        <v>14838</v>
      </c>
      <c r="H54" s="22">
        <v>14885</v>
      </c>
      <c r="I54" s="22">
        <v>16452</v>
      </c>
      <c r="J54" s="22">
        <v>17190</v>
      </c>
      <c r="K54" s="22">
        <v>21275</v>
      </c>
      <c r="L54" s="22">
        <v>22974</v>
      </c>
      <c r="M54" s="22">
        <v>24767</v>
      </c>
    </row>
    <row r="55" spans="2:13" ht="12.75" x14ac:dyDescent="0.2">
      <c r="B55" s="1" t="s">
        <v>148</v>
      </c>
      <c r="C55" s="1"/>
      <c r="D55" s="25">
        <v>1094</v>
      </c>
      <c r="E55" s="25">
        <v>5355</v>
      </c>
      <c r="F55" s="25">
        <v>2096</v>
      </c>
      <c r="G55" s="25">
        <v>47</v>
      </c>
      <c r="H55" s="22">
        <v>1566</v>
      </c>
      <c r="I55" s="22">
        <v>738</v>
      </c>
      <c r="J55" s="22">
        <v>4085</v>
      </c>
      <c r="K55" s="22">
        <v>1700</v>
      </c>
      <c r="L55" s="22">
        <v>1793</v>
      </c>
      <c r="M55" s="22">
        <v>10711</v>
      </c>
    </row>
    <row r="56" spans="2:13" ht="12.75" x14ac:dyDescent="0.2">
      <c r="B56" s="1" t="s">
        <v>149</v>
      </c>
      <c r="C56" s="1"/>
      <c r="D56" s="25">
        <v>15000</v>
      </c>
      <c r="E56" s="25">
        <v>10000</v>
      </c>
      <c r="F56" s="25">
        <v>5000</v>
      </c>
      <c r="G56" s="25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</row>
    <row r="57" spans="2:13" ht="12.75" x14ac:dyDescent="0.2">
      <c r="B57" s="1" t="s">
        <v>150</v>
      </c>
      <c r="C57" s="1"/>
      <c r="D57" s="25">
        <v>17438</v>
      </c>
      <c r="E57" s="25">
        <v>17438</v>
      </c>
      <c r="F57" s="25">
        <v>15750</v>
      </c>
      <c r="G57" s="25">
        <v>16125</v>
      </c>
      <c r="H57" s="22">
        <v>10625</v>
      </c>
      <c r="I57" s="22">
        <v>17625</v>
      </c>
      <c r="J57" s="22">
        <v>22238</v>
      </c>
      <c r="K57" s="22">
        <v>7451</v>
      </c>
      <c r="L57" s="22">
        <v>23344</v>
      </c>
      <c r="M57" s="22">
        <v>14556</v>
      </c>
    </row>
    <row r="58" spans="2:13" ht="12.75" x14ac:dyDescent="0.2">
      <c r="B58" s="1" t="s">
        <v>151</v>
      </c>
      <c r="C58" s="1"/>
      <c r="D58" s="25">
        <v>15000</v>
      </c>
      <c r="E58" s="25">
        <v>0</v>
      </c>
      <c r="F58" s="25">
        <v>0</v>
      </c>
      <c r="G58" s="25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12380</v>
      </c>
    </row>
    <row r="59" spans="2:13" ht="12.75" x14ac:dyDescent="0.2">
      <c r="B59" s="1"/>
      <c r="C59" s="1"/>
      <c r="D59" s="1"/>
      <c r="E59" s="1"/>
      <c r="F59" s="1"/>
      <c r="G59" s="1"/>
    </row>
    <row r="60" spans="2:13" ht="12.75" x14ac:dyDescent="0.2">
      <c r="B60" s="1" t="s">
        <v>142</v>
      </c>
      <c r="C60" s="1"/>
      <c r="D60" s="1"/>
      <c r="E60" s="1"/>
      <c r="F60" s="1"/>
      <c r="G60" s="1"/>
    </row>
    <row r="61" spans="2:13" ht="12.75" x14ac:dyDescent="0.2">
      <c r="B61" s="1"/>
      <c r="C61" s="1"/>
      <c r="D61" s="1"/>
      <c r="E61" s="1"/>
      <c r="F61" s="1"/>
      <c r="G61" s="1"/>
    </row>
    <row r="62" spans="2:13" ht="12.75" x14ac:dyDescent="0.2">
      <c r="B62" s="1" t="s">
        <v>152</v>
      </c>
      <c r="C62" s="1"/>
      <c r="D62" s="25">
        <v>29275</v>
      </c>
      <c r="E62" s="25">
        <v>37500</v>
      </c>
      <c r="F62" s="25">
        <v>52924</v>
      </c>
      <c r="G62" s="25">
        <v>45486</v>
      </c>
      <c r="H62" s="22">
        <v>27559</v>
      </c>
      <c r="I62" s="22">
        <v>37820</v>
      </c>
      <c r="J62" s="22">
        <v>57189</v>
      </c>
      <c r="K62" s="22">
        <v>43450</v>
      </c>
      <c r="L62" s="22">
        <v>37198</v>
      </c>
      <c r="M62" s="22">
        <v>38154</v>
      </c>
    </row>
    <row r="63" spans="2:13" ht="12.75" x14ac:dyDescent="0.2">
      <c r="B63" s="1" t="s">
        <v>153</v>
      </c>
      <c r="C63" s="1"/>
      <c r="D63" s="25">
        <v>0</v>
      </c>
      <c r="E63" s="25">
        <v>22682</v>
      </c>
      <c r="F63" s="25">
        <v>0</v>
      </c>
      <c r="G63" s="25">
        <v>0</v>
      </c>
      <c r="H63" s="22">
        <v>0</v>
      </c>
      <c r="I63" s="22">
        <v>0</v>
      </c>
      <c r="J63" s="22">
        <v>0</v>
      </c>
      <c r="K63" s="22">
        <v>0</v>
      </c>
      <c r="L63" s="22">
        <v>779</v>
      </c>
      <c r="M63" s="22">
        <v>4729</v>
      </c>
    </row>
    <row r="64" spans="2:13" ht="12.75" x14ac:dyDescent="0.2">
      <c r="B64" s="1" t="s">
        <v>154</v>
      </c>
      <c r="C64" s="1"/>
      <c r="D64" s="25">
        <v>15000</v>
      </c>
      <c r="E64" s="25">
        <v>0</v>
      </c>
      <c r="F64" s="25">
        <v>0</v>
      </c>
      <c r="G64" s="25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</row>
    <row r="65" spans="2:13" ht="12.75" x14ac:dyDescent="0.2">
      <c r="B65" s="1" t="s">
        <v>155</v>
      </c>
      <c r="C65" s="1"/>
      <c r="D65" s="25">
        <v>0</v>
      </c>
      <c r="E65" s="25">
        <v>0</v>
      </c>
      <c r="F65" s="25">
        <v>0</v>
      </c>
      <c r="G65" s="25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12380</v>
      </c>
    </row>
    <row r="66" spans="2:13" ht="12.75" x14ac:dyDescent="0.2">
      <c r="B66" s="1" t="s">
        <v>156</v>
      </c>
      <c r="C66" s="1"/>
      <c r="D66" s="25">
        <v>0</v>
      </c>
      <c r="E66" s="25">
        <v>0</v>
      </c>
      <c r="F66" s="25">
        <v>0</v>
      </c>
      <c r="G66" s="25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</row>
    <row r="67" spans="2:13" ht="12.75" x14ac:dyDescent="0.2">
      <c r="B67" s="1" t="s">
        <v>157</v>
      </c>
      <c r="C67" s="1"/>
      <c r="D67" s="25">
        <v>0</v>
      </c>
      <c r="E67" s="25">
        <v>0</v>
      </c>
      <c r="F67" s="25">
        <v>0</v>
      </c>
      <c r="G67" s="25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</row>
    <row r="68" spans="2:13" ht="12.75" x14ac:dyDescent="0.2">
      <c r="B68" s="1" t="s">
        <v>158</v>
      </c>
      <c r="C68" s="1"/>
      <c r="D68" s="25">
        <v>0</v>
      </c>
      <c r="E68" s="25">
        <v>0</v>
      </c>
      <c r="F68" s="25">
        <v>0</v>
      </c>
      <c r="G68" s="25">
        <v>9800</v>
      </c>
      <c r="H68" s="22">
        <v>15000</v>
      </c>
      <c r="I68" s="22">
        <v>6400</v>
      </c>
      <c r="J68" s="22">
        <v>4400</v>
      </c>
      <c r="K68" s="22">
        <v>13200</v>
      </c>
      <c r="L68" s="22">
        <v>2600</v>
      </c>
      <c r="M68" s="22">
        <v>2400</v>
      </c>
    </row>
    <row r="69" spans="2:13" ht="12.75" x14ac:dyDescent="0.2">
      <c r="B69" s="1" t="s">
        <v>159</v>
      </c>
      <c r="C69" s="1"/>
      <c r="D69" s="25">
        <v>0</v>
      </c>
      <c r="E69" s="25">
        <v>0</v>
      </c>
      <c r="F69" s="25">
        <v>0</v>
      </c>
      <c r="G69" s="25">
        <v>196</v>
      </c>
      <c r="H69" s="22">
        <v>300</v>
      </c>
      <c r="I69" s="22">
        <v>128</v>
      </c>
      <c r="J69" s="22">
        <v>88</v>
      </c>
      <c r="K69" s="22">
        <v>317</v>
      </c>
      <c r="L69" s="22">
        <v>62</v>
      </c>
      <c r="M69" s="22">
        <v>115</v>
      </c>
    </row>
    <row r="70" spans="2:13" ht="12.75" x14ac:dyDescent="0.2">
      <c r="B70" s="1" t="s">
        <v>160</v>
      </c>
      <c r="C70" s="1"/>
      <c r="D70" s="25">
        <v>0</v>
      </c>
      <c r="E70" s="25">
        <v>0</v>
      </c>
      <c r="F70" s="25">
        <v>0</v>
      </c>
      <c r="G70" s="25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</row>
    <row r="71" spans="2:13" ht="12.75" x14ac:dyDescent="0.2">
      <c r="B71" s="1" t="s">
        <v>161</v>
      </c>
      <c r="C71" s="1"/>
      <c r="D71" s="25">
        <v>44275</v>
      </c>
      <c r="E71" s="25">
        <v>60182</v>
      </c>
      <c r="F71" s="25">
        <v>52924</v>
      </c>
      <c r="G71" s="25">
        <v>55482</v>
      </c>
      <c r="H71" s="22">
        <v>42859</v>
      </c>
      <c r="I71" s="22">
        <v>44348</v>
      </c>
      <c r="J71" s="22">
        <v>61677</v>
      </c>
      <c r="K71" s="22">
        <v>56967</v>
      </c>
      <c r="L71" s="22">
        <v>40639</v>
      </c>
      <c r="M71" s="22">
        <v>45398</v>
      </c>
    </row>
    <row r="72" spans="2:13" ht="12.75" x14ac:dyDescent="0.2">
      <c r="B72" s="1" t="s">
        <v>162</v>
      </c>
      <c r="C72" s="1"/>
      <c r="D72" s="25">
        <v>17438</v>
      </c>
      <c r="E72" s="25">
        <v>17438</v>
      </c>
      <c r="F72" s="25">
        <v>17438</v>
      </c>
      <c r="G72" s="25">
        <v>15750</v>
      </c>
      <c r="H72" s="22">
        <v>16125</v>
      </c>
      <c r="I72" s="22">
        <v>12625</v>
      </c>
      <c r="J72" s="22">
        <v>20508</v>
      </c>
      <c r="K72" s="22">
        <v>24412</v>
      </c>
      <c r="L72" s="22">
        <v>9951</v>
      </c>
      <c r="M72" s="22">
        <v>24934</v>
      </c>
    </row>
    <row r="73" spans="2:13" ht="12.75" x14ac:dyDescent="0.2">
      <c r="B73" s="1" t="s">
        <v>163</v>
      </c>
      <c r="C73" s="1"/>
      <c r="D73" s="25">
        <v>5000</v>
      </c>
      <c r="E73" s="25">
        <v>20000</v>
      </c>
      <c r="F73" s="25">
        <v>5000</v>
      </c>
      <c r="G73" s="25">
        <v>5000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</row>
    <row r="74" spans="2:13" ht="12.75" x14ac:dyDescent="0.2">
      <c r="B74" s="1" t="s">
        <v>164</v>
      </c>
      <c r="C74" s="1"/>
      <c r="D74" s="25">
        <v>11250</v>
      </c>
      <c r="E74" s="25">
        <v>11250</v>
      </c>
      <c r="F74" s="25">
        <v>11250</v>
      </c>
      <c r="G74" s="25">
        <v>11250</v>
      </c>
      <c r="H74" s="22">
        <v>11250</v>
      </c>
      <c r="I74" s="22">
        <v>13894</v>
      </c>
      <c r="J74" s="22">
        <v>13275</v>
      </c>
      <c r="K74" s="22">
        <v>14726</v>
      </c>
      <c r="L74" s="22">
        <v>14681</v>
      </c>
      <c r="M74" s="22">
        <v>13781</v>
      </c>
    </row>
    <row r="75" spans="2:13" ht="12.75" x14ac:dyDescent="0.2">
      <c r="B75" s="1" t="s">
        <v>165</v>
      </c>
      <c r="C75" s="1"/>
      <c r="D75" s="25">
        <v>5100</v>
      </c>
      <c r="E75" s="25">
        <v>5100</v>
      </c>
      <c r="F75" s="25">
        <v>5100</v>
      </c>
      <c r="G75" s="25">
        <v>5100</v>
      </c>
      <c r="H75" s="22">
        <v>5100</v>
      </c>
      <c r="I75" s="22">
        <v>7653</v>
      </c>
      <c r="J75" s="22">
        <v>7027</v>
      </c>
      <c r="K75" s="22">
        <v>7489</v>
      </c>
      <c r="L75" s="22">
        <v>7072</v>
      </c>
      <c r="M75" s="22">
        <v>6737</v>
      </c>
    </row>
    <row r="76" spans="2:13" ht="12.75" x14ac:dyDescent="0.2">
      <c r="B76" s="1" t="s">
        <v>166</v>
      </c>
      <c r="C76" s="1"/>
      <c r="D76" s="25">
        <v>1000</v>
      </c>
      <c r="E76" s="25">
        <v>1500</v>
      </c>
      <c r="F76" s="25">
        <v>1100</v>
      </c>
      <c r="G76" s="25">
        <v>1100</v>
      </c>
      <c r="H76" s="22">
        <v>1200</v>
      </c>
      <c r="I76" s="22">
        <v>1500</v>
      </c>
      <c r="J76" s="22">
        <v>1500</v>
      </c>
      <c r="K76" s="22">
        <v>1500</v>
      </c>
      <c r="L76" s="22">
        <v>1600</v>
      </c>
      <c r="M76" s="22">
        <v>2700</v>
      </c>
    </row>
    <row r="77" spans="2:13" ht="12.75" x14ac:dyDescent="0.2">
      <c r="B77" s="1" t="s">
        <v>125</v>
      </c>
      <c r="C77" s="1"/>
      <c r="D77" s="25">
        <v>2000</v>
      </c>
      <c r="E77" s="25">
        <v>2000</v>
      </c>
      <c r="F77" s="25">
        <v>2000</v>
      </c>
      <c r="G77" s="25">
        <v>2000</v>
      </c>
      <c r="H77" s="22">
        <v>2000</v>
      </c>
      <c r="I77" s="22">
        <v>2000</v>
      </c>
      <c r="J77" s="22">
        <v>2000</v>
      </c>
      <c r="K77" s="22">
        <v>2000</v>
      </c>
      <c r="L77" s="22">
        <v>2000</v>
      </c>
      <c r="M77" s="22">
        <v>2000</v>
      </c>
    </row>
    <row r="78" spans="2:13" ht="12.75" x14ac:dyDescent="0.2">
      <c r="B78" s="1" t="s">
        <v>126</v>
      </c>
      <c r="C78" s="1"/>
      <c r="D78" s="25">
        <v>500</v>
      </c>
      <c r="E78" s="25">
        <v>1260</v>
      </c>
      <c r="F78" s="25">
        <v>250</v>
      </c>
      <c r="G78" s="25">
        <v>125</v>
      </c>
      <c r="H78" s="22">
        <v>0</v>
      </c>
      <c r="I78" s="22">
        <v>0</v>
      </c>
      <c r="J78" s="22">
        <v>0</v>
      </c>
      <c r="K78" s="22">
        <v>0</v>
      </c>
      <c r="L78" s="22">
        <v>21</v>
      </c>
      <c r="M78" s="22">
        <v>128</v>
      </c>
    </row>
    <row r="79" spans="2:13" ht="12.75" x14ac:dyDescent="0.2">
      <c r="B79" s="1" t="s">
        <v>128</v>
      </c>
      <c r="C79" s="1"/>
      <c r="D79" s="25">
        <v>0</v>
      </c>
      <c r="E79" s="25">
        <v>0</v>
      </c>
      <c r="F79" s="25">
        <v>0</v>
      </c>
      <c r="G79" s="25">
        <v>0</v>
      </c>
      <c r="H79" s="22">
        <v>20</v>
      </c>
      <c r="I79" s="22">
        <v>2020</v>
      </c>
      <c r="J79" s="22">
        <v>2020</v>
      </c>
      <c r="K79" s="22">
        <v>3530</v>
      </c>
      <c r="L79" s="22">
        <v>2030</v>
      </c>
      <c r="M79" s="22">
        <v>2250</v>
      </c>
    </row>
    <row r="80" spans="2:13" ht="12.75" x14ac:dyDescent="0.2">
      <c r="B80" s="1" t="s">
        <v>131</v>
      </c>
      <c r="C80" s="1"/>
      <c r="D80" s="25">
        <v>1094</v>
      </c>
      <c r="E80" s="25">
        <v>2637</v>
      </c>
      <c r="F80" s="25">
        <v>1032</v>
      </c>
      <c r="G80" s="25">
        <v>23</v>
      </c>
      <c r="H80" s="22">
        <v>772</v>
      </c>
      <c r="I80" s="22">
        <v>364</v>
      </c>
      <c r="J80" s="22">
        <v>2012</v>
      </c>
      <c r="K80" s="22">
        <v>837</v>
      </c>
      <c r="L80" s="22">
        <v>883</v>
      </c>
      <c r="M80" s="22">
        <v>5276</v>
      </c>
    </row>
    <row r="81" spans="2:13" ht="12.75" x14ac:dyDescent="0.2">
      <c r="B81" s="1" t="s">
        <v>167</v>
      </c>
      <c r="C81" s="1"/>
      <c r="D81" s="25">
        <v>0</v>
      </c>
      <c r="E81" s="25">
        <v>0</v>
      </c>
      <c r="F81" s="25">
        <v>9800</v>
      </c>
      <c r="G81" s="25">
        <v>15000</v>
      </c>
      <c r="H81" s="22">
        <v>6400</v>
      </c>
      <c r="I81" s="22">
        <v>4400</v>
      </c>
      <c r="J81" s="22">
        <v>13200</v>
      </c>
      <c r="K81" s="22">
        <v>2600</v>
      </c>
      <c r="L81" s="22">
        <v>2400</v>
      </c>
      <c r="M81" s="22">
        <v>0</v>
      </c>
    </row>
    <row r="82" spans="2:13" ht="12.75" x14ac:dyDescent="0.2">
      <c r="B82" s="1" t="s">
        <v>168</v>
      </c>
      <c r="C82" s="1"/>
      <c r="D82" s="25">
        <v>43381</v>
      </c>
      <c r="E82" s="25">
        <v>61185</v>
      </c>
      <c r="F82" s="25">
        <v>52970</v>
      </c>
      <c r="G82" s="25">
        <v>55348</v>
      </c>
      <c r="H82" s="22">
        <v>42867</v>
      </c>
      <c r="I82" s="22">
        <v>44456</v>
      </c>
      <c r="J82" s="22">
        <v>61541</v>
      </c>
      <c r="K82" s="22">
        <v>57094</v>
      </c>
      <c r="L82" s="22">
        <v>40639</v>
      </c>
      <c r="M82" s="22">
        <v>57806</v>
      </c>
    </row>
    <row r="83" spans="2:13" ht="12.75" x14ac:dyDescent="0.2">
      <c r="B83" s="1" t="s">
        <v>169</v>
      </c>
      <c r="C83" s="1"/>
      <c r="D83" s="25">
        <v>893</v>
      </c>
      <c r="E83" s="25">
        <v>-1004</v>
      </c>
      <c r="F83" s="25">
        <v>-46</v>
      </c>
      <c r="G83" s="25">
        <v>134</v>
      </c>
      <c r="H83" s="22">
        <v>-7</v>
      </c>
      <c r="I83" s="22">
        <v>-108</v>
      </c>
      <c r="J83" s="22">
        <v>136</v>
      </c>
      <c r="K83" s="22">
        <v>-127</v>
      </c>
      <c r="L83" s="22">
        <v>0</v>
      </c>
      <c r="M83" s="22">
        <v>-12407</v>
      </c>
    </row>
    <row r="84" spans="2:13" ht="12.75" x14ac:dyDescent="0.2">
      <c r="B84" s="1"/>
      <c r="C84" s="1"/>
      <c r="D84" s="1"/>
      <c r="E84" s="1"/>
      <c r="F84" s="1"/>
      <c r="G84" s="1"/>
    </row>
    <row r="85" spans="2:13" ht="12.75" x14ac:dyDescent="0.2">
      <c r="B85" s="1" t="s">
        <v>170</v>
      </c>
      <c r="C85" s="1"/>
      <c r="D85" s="1"/>
      <c r="E85" s="1"/>
      <c r="F85" s="1"/>
      <c r="G85" s="1"/>
    </row>
    <row r="86" spans="2:13" ht="12.75" x14ac:dyDescent="0.2">
      <c r="B86" s="1"/>
      <c r="C86" s="1"/>
      <c r="D86" s="1"/>
      <c r="E86" s="1"/>
      <c r="F86" s="1"/>
      <c r="G86" s="1"/>
    </row>
    <row r="87" spans="2:13" ht="12.75" x14ac:dyDescent="0.2">
      <c r="B87" s="1" t="s">
        <v>171</v>
      </c>
      <c r="C87" s="1"/>
      <c r="D87" s="25">
        <v>1400</v>
      </c>
      <c r="E87" s="25">
        <v>1500</v>
      </c>
      <c r="F87" s="25">
        <v>1600</v>
      </c>
      <c r="G87" s="25">
        <v>1400</v>
      </c>
      <c r="H87" s="22">
        <v>1200</v>
      </c>
      <c r="I87" s="22">
        <v>100</v>
      </c>
      <c r="J87" s="22">
        <v>255</v>
      </c>
      <c r="K87" s="22">
        <v>1853</v>
      </c>
      <c r="L87" s="22">
        <v>191</v>
      </c>
      <c r="M87" s="22">
        <v>85</v>
      </c>
    </row>
    <row r="88" spans="2:13" ht="12.75" x14ac:dyDescent="0.2">
      <c r="B88" s="1" t="s">
        <v>172</v>
      </c>
      <c r="C88" s="1"/>
      <c r="D88" s="25">
        <v>3300</v>
      </c>
      <c r="E88" s="25">
        <v>3300</v>
      </c>
      <c r="F88" s="25">
        <v>3000</v>
      </c>
      <c r="G88" s="25">
        <v>3000</v>
      </c>
      <c r="H88" s="22">
        <v>1900</v>
      </c>
      <c r="I88" s="22">
        <v>2800</v>
      </c>
      <c r="J88" s="22">
        <v>4200</v>
      </c>
      <c r="K88" s="22">
        <v>900</v>
      </c>
      <c r="L88" s="22">
        <v>2700</v>
      </c>
      <c r="M88" s="22">
        <v>2559</v>
      </c>
    </row>
    <row r="89" spans="2:13" ht="12.75" x14ac:dyDescent="0.2">
      <c r="B89" s="1" t="s">
        <v>173</v>
      </c>
      <c r="C89" s="1"/>
      <c r="D89" s="25">
        <v>3200</v>
      </c>
      <c r="E89" s="25">
        <v>3200</v>
      </c>
      <c r="F89" s="25">
        <v>3200</v>
      </c>
      <c r="G89" s="25">
        <v>3200</v>
      </c>
      <c r="H89" s="22">
        <v>3000</v>
      </c>
      <c r="I89" s="22">
        <v>2645</v>
      </c>
      <c r="J89" s="22">
        <v>2602</v>
      </c>
      <c r="K89" s="22">
        <v>2562</v>
      </c>
      <c r="L89" s="22">
        <v>2806</v>
      </c>
      <c r="M89" s="22">
        <v>2644</v>
      </c>
    </row>
    <row r="90" spans="2:13" ht="12.75" x14ac:dyDescent="0.2">
      <c r="B90" s="1" t="s">
        <v>174</v>
      </c>
      <c r="C90" s="1"/>
      <c r="D90" s="25">
        <v>1500</v>
      </c>
      <c r="E90" s="25">
        <v>1600</v>
      </c>
      <c r="F90" s="25">
        <v>1400</v>
      </c>
      <c r="G90" s="25">
        <v>1200</v>
      </c>
      <c r="H90" s="22">
        <v>100</v>
      </c>
      <c r="I90" s="22">
        <v>255</v>
      </c>
      <c r="J90" s="22">
        <v>1853</v>
      </c>
      <c r="K90" s="22">
        <v>191</v>
      </c>
      <c r="L90" s="22">
        <v>85</v>
      </c>
      <c r="M90" s="22">
        <v>0</v>
      </c>
    </row>
    <row r="91" spans="2:13" ht="12.75" x14ac:dyDescent="0.2">
      <c r="B91" s="1"/>
      <c r="C91" s="1"/>
      <c r="D91" s="1"/>
      <c r="E91" s="1"/>
      <c r="F91" s="1"/>
      <c r="G91" s="1"/>
    </row>
    <row r="92" spans="2:13" ht="12.75" x14ac:dyDescent="0.2">
      <c r="B92" s="1" t="s">
        <v>175</v>
      </c>
      <c r="C92" s="1"/>
      <c r="D92" s="1"/>
      <c r="E92" s="1"/>
      <c r="F92" s="1"/>
      <c r="G92" s="1"/>
    </row>
    <row r="93" spans="2:13" ht="12.75" x14ac:dyDescent="0.2">
      <c r="B93" s="1"/>
      <c r="C93" s="1"/>
      <c r="D93" s="1"/>
      <c r="E93" s="1"/>
      <c r="F93" s="1"/>
      <c r="G93" s="1"/>
    </row>
    <row r="94" spans="2:13" ht="12.75" x14ac:dyDescent="0.2">
      <c r="B94" s="1" t="s">
        <v>171</v>
      </c>
      <c r="C94" s="1"/>
      <c r="D94" s="25">
        <v>7000</v>
      </c>
      <c r="E94" s="25">
        <v>7500</v>
      </c>
      <c r="F94" s="25">
        <v>8000</v>
      </c>
      <c r="G94" s="25">
        <v>7000</v>
      </c>
      <c r="H94" s="22">
        <v>6000</v>
      </c>
      <c r="I94" s="22">
        <v>500</v>
      </c>
      <c r="J94" s="22">
        <v>1275</v>
      </c>
      <c r="K94" s="22">
        <v>9440</v>
      </c>
      <c r="L94" s="22">
        <v>973</v>
      </c>
      <c r="M94" s="22">
        <v>535</v>
      </c>
    </row>
    <row r="95" spans="2:13" ht="12.75" x14ac:dyDescent="0.2">
      <c r="B95" s="1" t="s">
        <v>172</v>
      </c>
      <c r="C95" s="1"/>
      <c r="D95" s="25">
        <v>16500</v>
      </c>
      <c r="E95" s="25">
        <v>16500</v>
      </c>
      <c r="F95" s="25">
        <v>15000</v>
      </c>
      <c r="G95" s="25">
        <v>15000</v>
      </c>
      <c r="H95" s="22">
        <v>9500</v>
      </c>
      <c r="I95" s="22">
        <v>14000</v>
      </c>
      <c r="J95" s="22">
        <v>21420</v>
      </c>
      <c r="K95" s="22">
        <v>4590</v>
      </c>
      <c r="L95" s="22">
        <v>17213</v>
      </c>
      <c r="M95" s="22">
        <v>13830</v>
      </c>
    </row>
    <row r="96" spans="2:13" ht="12.75" x14ac:dyDescent="0.2">
      <c r="B96" s="1" t="s">
        <v>173</v>
      </c>
      <c r="C96" s="1"/>
      <c r="D96" s="25">
        <v>16000</v>
      </c>
      <c r="E96" s="25">
        <v>16000</v>
      </c>
      <c r="F96" s="25">
        <v>16000</v>
      </c>
      <c r="G96" s="25">
        <v>16000</v>
      </c>
      <c r="H96" s="22">
        <v>15000</v>
      </c>
      <c r="I96" s="22">
        <v>13225</v>
      </c>
      <c r="J96" s="22">
        <v>13255</v>
      </c>
      <c r="K96" s="22">
        <v>13056</v>
      </c>
      <c r="L96" s="22">
        <v>17651</v>
      </c>
      <c r="M96" s="22">
        <v>14365</v>
      </c>
    </row>
    <row r="97" spans="2:13" ht="12.75" x14ac:dyDescent="0.2">
      <c r="B97" s="1" t="s">
        <v>174</v>
      </c>
      <c r="C97" s="1"/>
      <c r="D97" s="25">
        <v>7500</v>
      </c>
      <c r="E97" s="25">
        <v>8000</v>
      </c>
      <c r="F97" s="25">
        <v>7000</v>
      </c>
      <c r="G97" s="25">
        <v>6000</v>
      </c>
      <c r="H97" s="22">
        <v>500</v>
      </c>
      <c r="I97" s="22">
        <v>1275</v>
      </c>
      <c r="J97" s="22">
        <v>9440</v>
      </c>
      <c r="K97" s="22">
        <v>973</v>
      </c>
      <c r="L97" s="22">
        <v>535</v>
      </c>
      <c r="M97" s="22">
        <v>0</v>
      </c>
    </row>
    <row r="98" spans="2:13" ht="12.75" x14ac:dyDescent="0.2">
      <c r="B98" s="1"/>
      <c r="C98" s="1"/>
      <c r="D98" s="1"/>
      <c r="E98" s="1"/>
      <c r="F98" s="1"/>
      <c r="G98" s="1"/>
    </row>
    <row r="99" spans="2:13" ht="12.75" x14ac:dyDescent="0.2">
      <c r="B99" s="1" t="s">
        <v>176</v>
      </c>
      <c r="C99" s="1"/>
      <c r="D99" s="1"/>
      <c r="E99" s="1"/>
      <c r="F99" s="1"/>
      <c r="G99" s="1"/>
    </row>
    <row r="100" spans="2:13" ht="12.75" x14ac:dyDescent="0.2">
      <c r="B100" s="1"/>
      <c r="C100" s="1"/>
      <c r="D100" s="1"/>
      <c r="E100" s="1"/>
      <c r="F100" s="1"/>
      <c r="G100" s="1"/>
    </row>
    <row r="101" spans="2:13" ht="12.75" x14ac:dyDescent="0.2">
      <c r="B101" s="1" t="s">
        <v>171</v>
      </c>
      <c r="C101" s="1"/>
      <c r="D101" s="25">
        <v>350</v>
      </c>
      <c r="E101" s="25">
        <v>300</v>
      </c>
      <c r="F101" s="25">
        <v>250</v>
      </c>
      <c r="G101" s="25">
        <v>50</v>
      </c>
      <c r="H101" s="22">
        <v>150</v>
      </c>
      <c r="I101" s="22">
        <v>50</v>
      </c>
      <c r="J101" s="22">
        <v>1025</v>
      </c>
      <c r="K101" s="22">
        <v>0</v>
      </c>
      <c r="L101" s="22">
        <v>0</v>
      </c>
      <c r="M101" s="22">
        <v>346</v>
      </c>
    </row>
    <row r="102" spans="2:13" ht="12.75" x14ac:dyDescent="0.2">
      <c r="B102" s="1" t="s">
        <v>172</v>
      </c>
      <c r="C102" s="1"/>
      <c r="D102" s="25">
        <v>750</v>
      </c>
      <c r="E102" s="25">
        <v>750</v>
      </c>
      <c r="F102" s="25">
        <v>600</v>
      </c>
      <c r="G102" s="25">
        <v>900</v>
      </c>
      <c r="H102" s="22">
        <v>900</v>
      </c>
      <c r="I102" s="22">
        <v>2900</v>
      </c>
      <c r="J102" s="22">
        <v>753</v>
      </c>
      <c r="K102" s="22">
        <v>2158</v>
      </c>
      <c r="L102" s="22">
        <v>2500</v>
      </c>
      <c r="M102" s="22">
        <v>1700</v>
      </c>
    </row>
    <row r="103" spans="2:13" ht="12.75" x14ac:dyDescent="0.2">
      <c r="B103" s="1" t="s">
        <v>173</v>
      </c>
      <c r="C103" s="1"/>
      <c r="D103" s="25">
        <v>800</v>
      </c>
      <c r="E103" s="25">
        <v>800</v>
      </c>
      <c r="F103" s="25">
        <v>800</v>
      </c>
      <c r="G103" s="25">
        <v>800</v>
      </c>
      <c r="H103" s="22">
        <v>1000</v>
      </c>
      <c r="I103" s="22">
        <v>1925</v>
      </c>
      <c r="J103" s="22">
        <v>1778</v>
      </c>
      <c r="K103" s="22">
        <v>2158</v>
      </c>
      <c r="L103" s="22">
        <v>2154</v>
      </c>
      <c r="M103" s="22">
        <v>1836</v>
      </c>
    </row>
    <row r="104" spans="2:13" ht="12.75" x14ac:dyDescent="0.2">
      <c r="B104" s="1" t="s">
        <v>174</v>
      </c>
      <c r="C104" s="1"/>
      <c r="D104" s="25">
        <v>300</v>
      </c>
      <c r="E104" s="25">
        <v>250</v>
      </c>
      <c r="F104" s="25">
        <v>50</v>
      </c>
      <c r="G104" s="25">
        <v>150</v>
      </c>
      <c r="H104" s="22">
        <v>50</v>
      </c>
      <c r="I104" s="22">
        <v>1025</v>
      </c>
      <c r="J104" s="22">
        <v>0</v>
      </c>
      <c r="K104" s="22">
        <v>0</v>
      </c>
      <c r="L104" s="22">
        <v>346</v>
      </c>
      <c r="M104" s="22">
        <v>210</v>
      </c>
    </row>
    <row r="105" spans="2:13" ht="12.75" x14ac:dyDescent="0.2">
      <c r="B105" s="1"/>
      <c r="C105" s="1"/>
      <c r="D105" s="1"/>
      <c r="E105" s="1"/>
      <c r="F105" s="1"/>
      <c r="G105" s="1"/>
    </row>
    <row r="106" spans="2:13" ht="12.75" x14ac:dyDescent="0.2">
      <c r="B106" s="1" t="s">
        <v>177</v>
      </c>
      <c r="C106" s="1"/>
      <c r="D106" s="1"/>
      <c r="E106" s="1"/>
      <c r="F106" s="1"/>
      <c r="G106" s="1"/>
    </row>
    <row r="107" spans="2:13" ht="12.75" x14ac:dyDescent="0.2">
      <c r="B107" s="1"/>
      <c r="C107" s="1"/>
      <c r="D107" s="1"/>
      <c r="E107" s="1"/>
      <c r="F107" s="1"/>
      <c r="G107" s="1"/>
    </row>
    <row r="108" spans="2:13" ht="12.75" x14ac:dyDescent="0.2">
      <c r="B108" s="1" t="s">
        <v>171</v>
      </c>
      <c r="C108" s="1"/>
      <c r="D108" s="25">
        <v>438</v>
      </c>
      <c r="E108" s="25">
        <v>375</v>
      </c>
      <c r="F108" s="25">
        <v>313</v>
      </c>
      <c r="G108" s="25">
        <v>63</v>
      </c>
      <c r="H108" s="22">
        <v>188</v>
      </c>
      <c r="I108" s="22">
        <v>63</v>
      </c>
      <c r="J108" s="22">
        <v>1281</v>
      </c>
      <c r="K108" s="22">
        <v>0</v>
      </c>
      <c r="L108" s="22">
        <v>0</v>
      </c>
      <c r="M108" s="22">
        <v>849</v>
      </c>
    </row>
    <row r="109" spans="2:13" ht="12.75" x14ac:dyDescent="0.2">
      <c r="B109" s="1" t="s">
        <v>172</v>
      </c>
      <c r="C109" s="1"/>
      <c r="D109" s="25">
        <v>938</v>
      </c>
      <c r="E109" s="25">
        <v>938</v>
      </c>
      <c r="F109" s="25">
        <v>750</v>
      </c>
      <c r="G109" s="25">
        <v>1125</v>
      </c>
      <c r="H109" s="22">
        <v>1125</v>
      </c>
      <c r="I109" s="22">
        <v>3625</v>
      </c>
      <c r="J109" s="22">
        <v>1200</v>
      </c>
      <c r="K109" s="22">
        <v>3035</v>
      </c>
      <c r="L109" s="22">
        <v>6131</v>
      </c>
      <c r="M109" s="22">
        <v>2316</v>
      </c>
    </row>
    <row r="110" spans="2:13" ht="12.75" x14ac:dyDescent="0.2">
      <c r="B110" s="1" t="s">
        <v>173</v>
      </c>
      <c r="C110" s="1"/>
      <c r="D110" s="25">
        <v>1000</v>
      </c>
      <c r="E110" s="25">
        <v>1000</v>
      </c>
      <c r="F110" s="25">
        <v>1000</v>
      </c>
      <c r="G110" s="25">
        <v>1000</v>
      </c>
      <c r="H110" s="22">
        <v>1250</v>
      </c>
      <c r="I110" s="22">
        <v>2406</v>
      </c>
      <c r="J110" s="22">
        <v>2481</v>
      </c>
      <c r="K110" s="22">
        <v>3035</v>
      </c>
      <c r="L110" s="22">
        <v>5283</v>
      </c>
      <c r="M110" s="22">
        <v>2840</v>
      </c>
    </row>
    <row r="111" spans="2:13" ht="12.75" x14ac:dyDescent="0.2">
      <c r="B111" s="1" t="s">
        <v>174</v>
      </c>
      <c r="C111" s="1"/>
      <c r="D111" s="25">
        <v>375</v>
      </c>
      <c r="E111" s="25">
        <v>313</v>
      </c>
      <c r="F111" s="25">
        <v>63</v>
      </c>
      <c r="G111" s="25">
        <v>188</v>
      </c>
      <c r="H111" s="22">
        <v>63</v>
      </c>
      <c r="I111" s="22">
        <v>1281</v>
      </c>
      <c r="J111" s="22">
        <v>0</v>
      </c>
      <c r="K111" s="22">
        <v>0</v>
      </c>
      <c r="L111" s="22">
        <v>849</v>
      </c>
      <c r="M111" s="22">
        <v>325</v>
      </c>
    </row>
    <row r="113" spans="2:13" ht="12.75" x14ac:dyDescent="0.2">
      <c r="B113" s="1" t="s">
        <v>178</v>
      </c>
      <c r="C113" s="1"/>
      <c r="D113" s="1"/>
      <c r="E113" s="1"/>
      <c r="F113" s="1"/>
      <c r="G113" s="1"/>
    </row>
    <row r="114" spans="2:13" ht="12.75" x14ac:dyDescent="0.2">
      <c r="B114" s="1"/>
      <c r="C114" s="1"/>
      <c r="D114" s="1"/>
      <c r="E114" s="1"/>
      <c r="F114" s="1"/>
      <c r="G114" s="1"/>
    </row>
    <row r="115" spans="2:13" ht="12.75" x14ac:dyDescent="0.2">
      <c r="B115" s="1" t="s">
        <v>171</v>
      </c>
      <c r="C115" s="1"/>
      <c r="D115" s="25">
        <v>197500</v>
      </c>
      <c r="E115" s="25">
        <v>210000</v>
      </c>
      <c r="F115" s="25">
        <v>31972</v>
      </c>
      <c r="G115" s="25">
        <v>4542</v>
      </c>
      <c r="H115" s="22">
        <v>66746</v>
      </c>
      <c r="I115" s="22">
        <v>74646</v>
      </c>
      <c r="J115" s="22">
        <v>0</v>
      </c>
      <c r="K115" s="22">
        <v>16507</v>
      </c>
      <c r="L115" s="22">
        <v>35161</v>
      </c>
      <c r="M115" s="22">
        <v>70317</v>
      </c>
    </row>
    <row r="116" spans="2:13" ht="12.75" x14ac:dyDescent="0.2">
      <c r="B116" s="1" t="s">
        <v>179</v>
      </c>
      <c r="C116" s="1"/>
      <c r="D116" s="25">
        <v>200000</v>
      </c>
      <c r="E116" s="25">
        <v>200000</v>
      </c>
      <c r="F116" s="25">
        <v>200000</v>
      </c>
      <c r="G116" s="25">
        <v>200000</v>
      </c>
      <c r="H116" s="22">
        <v>180000</v>
      </c>
      <c r="I116" s="22">
        <v>120000</v>
      </c>
      <c r="J116" s="22">
        <v>122000</v>
      </c>
      <c r="K116" s="22">
        <v>103000</v>
      </c>
      <c r="L116" s="22">
        <v>125000</v>
      </c>
      <c r="M116" s="22">
        <v>120000</v>
      </c>
    </row>
    <row r="117" spans="2:13" ht="12.75" x14ac:dyDescent="0.2">
      <c r="B117" s="1" t="s">
        <v>104</v>
      </c>
      <c r="C117" s="1"/>
      <c r="D117" s="25">
        <v>187500</v>
      </c>
      <c r="E117" s="25">
        <v>378028</v>
      </c>
      <c r="F117" s="25">
        <v>227430</v>
      </c>
      <c r="G117" s="25">
        <v>137796</v>
      </c>
      <c r="H117" s="22">
        <v>172100</v>
      </c>
      <c r="I117" s="22">
        <v>194646</v>
      </c>
      <c r="J117" s="22">
        <v>105493</v>
      </c>
      <c r="K117" s="22">
        <v>84346</v>
      </c>
      <c r="L117" s="22">
        <v>89843</v>
      </c>
      <c r="M117" s="22">
        <v>177874</v>
      </c>
    </row>
    <row r="118" spans="2:13" ht="12.75" x14ac:dyDescent="0.2">
      <c r="B118" s="1" t="s">
        <v>174</v>
      </c>
      <c r="C118" s="1"/>
      <c r="D118" s="25">
        <v>210000</v>
      </c>
      <c r="E118" s="25">
        <v>31972</v>
      </c>
      <c r="F118" s="25">
        <v>4542</v>
      </c>
      <c r="G118" s="25">
        <v>66746</v>
      </c>
      <c r="H118" s="22">
        <v>74646</v>
      </c>
      <c r="I118" s="22">
        <v>0</v>
      </c>
      <c r="J118" s="22">
        <v>16507</v>
      </c>
      <c r="K118" s="22">
        <v>35161</v>
      </c>
      <c r="L118" s="22">
        <v>70317</v>
      </c>
      <c r="M118" s="22">
        <v>12444</v>
      </c>
    </row>
    <row r="119" spans="2:13" ht="12.75" x14ac:dyDescent="0.2">
      <c r="B119" s="1"/>
      <c r="C119" s="1"/>
      <c r="D119" s="1"/>
      <c r="E119" s="1"/>
      <c r="F119" s="1"/>
      <c r="G119" s="1"/>
    </row>
    <row r="120" spans="2:13" ht="12.75" x14ac:dyDescent="0.2">
      <c r="B120" s="1" t="s">
        <v>180</v>
      </c>
      <c r="C120" s="1"/>
      <c r="D120" s="1"/>
      <c r="E120" s="1"/>
      <c r="F120" s="1"/>
      <c r="G120" s="1"/>
    </row>
    <row r="121" spans="2:13" ht="12.75" x14ac:dyDescent="0.2">
      <c r="B121" s="1"/>
      <c r="C121" s="1"/>
      <c r="D121" s="1"/>
      <c r="E121" s="1"/>
      <c r="F121" s="1"/>
      <c r="G121" s="1"/>
    </row>
    <row r="122" spans="2:13" ht="12.75" x14ac:dyDescent="0.2">
      <c r="B122" s="1" t="s">
        <v>171</v>
      </c>
      <c r="C122" s="1"/>
      <c r="D122" s="25">
        <v>30613</v>
      </c>
      <c r="E122" s="25">
        <v>33400</v>
      </c>
      <c r="F122" s="25">
        <v>5147</v>
      </c>
      <c r="G122" s="25">
        <v>739</v>
      </c>
      <c r="H122" s="22">
        <v>10879</v>
      </c>
      <c r="I122" s="22">
        <v>12167</v>
      </c>
      <c r="J122" s="22">
        <v>0</v>
      </c>
      <c r="K122" s="22">
        <v>2830</v>
      </c>
      <c r="L122" s="22">
        <v>5987</v>
      </c>
      <c r="M122" s="22">
        <v>13138</v>
      </c>
    </row>
    <row r="123" spans="2:13" ht="12.75" x14ac:dyDescent="0.2">
      <c r="B123" s="1" t="s">
        <v>179</v>
      </c>
      <c r="C123" s="1"/>
      <c r="D123" s="25">
        <v>32600</v>
      </c>
      <c r="E123" s="25">
        <v>32600</v>
      </c>
      <c r="F123" s="25">
        <v>32600</v>
      </c>
      <c r="G123" s="25">
        <v>32600</v>
      </c>
      <c r="H123" s="22">
        <v>29340</v>
      </c>
      <c r="I123" s="22">
        <v>20411</v>
      </c>
      <c r="J123" s="22">
        <v>20917</v>
      </c>
      <c r="K123" s="22">
        <v>17519</v>
      </c>
      <c r="L123" s="22">
        <v>23937</v>
      </c>
      <c r="M123" s="22">
        <v>21003</v>
      </c>
    </row>
    <row r="124" spans="2:13" ht="12.75" x14ac:dyDescent="0.2">
      <c r="B124" s="1" t="s">
        <v>104</v>
      </c>
      <c r="C124" s="1"/>
      <c r="D124" s="25">
        <v>29813</v>
      </c>
      <c r="E124" s="25">
        <v>60853</v>
      </c>
      <c r="F124" s="25">
        <v>37008</v>
      </c>
      <c r="G124" s="25">
        <v>22460</v>
      </c>
      <c r="H124" s="22">
        <v>28052</v>
      </c>
      <c r="I124" s="22">
        <v>32578</v>
      </c>
      <c r="J124" s="22">
        <v>18087</v>
      </c>
      <c r="K124" s="22">
        <v>14362</v>
      </c>
      <c r="L124" s="22">
        <v>16786</v>
      </c>
      <c r="M124" s="22">
        <v>31908</v>
      </c>
    </row>
    <row r="125" spans="2:13" ht="12.75" x14ac:dyDescent="0.2">
      <c r="B125" s="1" t="s">
        <v>174</v>
      </c>
      <c r="C125" s="1"/>
      <c r="D125" s="25">
        <v>33400</v>
      </c>
      <c r="E125" s="25">
        <v>5147</v>
      </c>
      <c r="F125" s="25">
        <v>739</v>
      </c>
      <c r="G125" s="25">
        <v>10879</v>
      </c>
      <c r="H125" s="22">
        <v>12167</v>
      </c>
      <c r="I125" s="22">
        <v>0</v>
      </c>
      <c r="J125" s="22">
        <v>2830</v>
      </c>
      <c r="K125" s="22">
        <v>5987</v>
      </c>
      <c r="L125" s="22">
        <v>13138</v>
      </c>
      <c r="M125" s="22">
        <v>2232</v>
      </c>
    </row>
    <row r="126" spans="2:13" ht="12.75" x14ac:dyDescent="0.2">
      <c r="B126" s="1"/>
      <c r="C126" s="1"/>
      <c r="D126" s="1"/>
      <c r="E126" s="1"/>
      <c r="F126" s="1"/>
      <c r="G126" s="1"/>
    </row>
    <row r="127" spans="2:13" ht="12.75" x14ac:dyDescent="0.2">
      <c r="B127" s="1" t="s">
        <v>181</v>
      </c>
      <c r="C127" s="1"/>
      <c r="D127" s="1"/>
      <c r="E127" s="1"/>
      <c r="F127" s="1"/>
      <c r="G127" s="1"/>
    </row>
    <row r="129" spans="2:13" ht="12.75" x14ac:dyDescent="0.2">
      <c r="B129" s="1" t="s">
        <v>171</v>
      </c>
      <c r="C129" s="1"/>
      <c r="D129" s="25">
        <v>0</v>
      </c>
      <c r="E129" s="25">
        <v>0</v>
      </c>
      <c r="F129" s="25">
        <v>0</v>
      </c>
      <c r="G129" s="25">
        <v>0</v>
      </c>
      <c r="H129" s="22">
        <v>0</v>
      </c>
      <c r="I129" s="22">
        <v>0</v>
      </c>
      <c r="J129" s="22">
        <v>0</v>
      </c>
      <c r="K129" s="22">
        <v>20543</v>
      </c>
      <c r="L129" s="22">
        <v>79541</v>
      </c>
      <c r="M129" s="22">
        <v>127238</v>
      </c>
    </row>
    <row r="130" spans="2:13" ht="12.75" x14ac:dyDescent="0.2">
      <c r="B130" s="1" t="s">
        <v>179</v>
      </c>
      <c r="C130" s="1"/>
      <c r="D130" s="25">
        <v>0</v>
      </c>
      <c r="E130" s="25">
        <v>0</v>
      </c>
      <c r="F130" s="25">
        <v>0</v>
      </c>
      <c r="G130" s="25">
        <v>0</v>
      </c>
      <c r="H130" s="22">
        <v>20000</v>
      </c>
      <c r="I130" s="22">
        <v>90000</v>
      </c>
      <c r="J130" s="22">
        <v>80000</v>
      </c>
      <c r="K130" s="22">
        <v>104000</v>
      </c>
      <c r="L130" s="22">
        <v>106000</v>
      </c>
      <c r="M130" s="22">
        <v>79000</v>
      </c>
    </row>
    <row r="131" spans="2:13" ht="12.75" x14ac:dyDescent="0.2">
      <c r="B131" s="1" t="s">
        <v>104</v>
      </c>
      <c r="C131" s="1"/>
      <c r="D131" s="25">
        <v>0</v>
      </c>
      <c r="E131" s="25">
        <v>0</v>
      </c>
      <c r="F131" s="25">
        <v>0</v>
      </c>
      <c r="G131" s="25">
        <v>0</v>
      </c>
      <c r="H131" s="22">
        <v>20000</v>
      </c>
      <c r="I131" s="22">
        <v>90000</v>
      </c>
      <c r="J131" s="22">
        <v>59457</v>
      </c>
      <c r="K131" s="22">
        <v>45002</v>
      </c>
      <c r="L131" s="22">
        <v>58303</v>
      </c>
      <c r="M131" s="22">
        <v>121400</v>
      </c>
    </row>
    <row r="132" spans="2:13" ht="12.75" x14ac:dyDescent="0.2">
      <c r="B132" s="1" t="s">
        <v>174</v>
      </c>
      <c r="C132" s="1"/>
      <c r="D132" s="25">
        <v>0</v>
      </c>
      <c r="E132" s="25">
        <v>0</v>
      </c>
      <c r="F132" s="25">
        <v>0</v>
      </c>
      <c r="G132" s="25">
        <v>0</v>
      </c>
      <c r="H132" s="22">
        <v>0</v>
      </c>
      <c r="I132" s="22">
        <v>0</v>
      </c>
      <c r="J132" s="22">
        <v>20543</v>
      </c>
      <c r="K132" s="22">
        <v>79541</v>
      </c>
      <c r="L132" s="22">
        <v>127238</v>
      </c>
      <c r="M132" s="22">
        <v>84837</v>
      </c>
    </row>
    <row r="133" spans="2:13" ht="12.75" x14ac:dyDescent="0.2">
      <c r="B133" s="1"/>
      <c r="C133" s="1"/>
      <c r="D133" s="1"/>
      <c r="E133" s="1"/>
      <c r="F133" s="1"/>
      <c r="G133" s="1"/>
    </row>
    <row r="134" spans="2:13" ht="12.75" x14ac:dyDescent="0.2">
      <c r="B134" s="1" t="s">
        <v>182</v>
      </c>
      <c r="C134" s="1"/>
      <c r="D134" s="1"/>
      <c r="E134" s="1"/>
      <c r="F134" s="1"/>
      <c r="G134" s="1"/>
    </row>
    <row r="135" spans="2:13" ht="12.75" x14ac:dyDescent="0.2">
      <c r="B135" s="1"/>
      <c r="C135" s="1"/>
      <c r="D135" s="1"/>
      <c r="E135" s="1"/>
      <c r="F135" s="1"/>
      <c r="G135" s="1"/>
    </row>
    <row r="136" spans="2:13" ht="12.75" x14ac:dyDescent="0.2">
      <c r="B136" s="1" t="s">
        <v>171</v>
      </c>
      <c r="C136" s="1"/>
      <c r="D136" s="25">
        <v>0</v>
      </c>
      <c r="E136" s="25">
        <v>0</v>
      </c>
      <c r="F136" s="25">
        <v>0</v>
      </c>
      <c r="G136" s="25">
        <v>0</v>
      </c>
      <c r="H136" s="22">
        <v>0</v>
      </c>
      <c r="I136" s="22">
        <v>0</v>
      </c>
      <c r="J136" s="22">
        <v>0</v>
      </c>
      <c r="K136" s="22">
        <v>2762</v>
      </c>
      <c r="L136" s="22">
        <v>10611</v>
      </c>
      <c r="M136" s="22">
        <v>18407</v>
      </c>
    </row>
    <row r="137" spans="2:13" ht="12.75" x14ac:dyDescent="0.2">
      <c r="B137" s="1" t="s">
        <v>179</v>
      </c>
      <c r="C137" s="1"/>
      <c r="D137" s="25">
        <v>0</v>
      </c>
      <c r="E137" s="25">
        <v>0</v>
      </c>
      <c r="F137" s="25">
        <v>0</v>
      </c>
      <c r="G137" s="25">
        <v>0</v>
      </c>
      <c r="H137" s="22">
        <v>2510</v>
      </c>
      <c r="I137" s="22">
        <v>11933</v>
      </c>
      <c r="J137" s="22">
        <v>10757</v>
      </c>
      <c r="K137" s="22">
        <v>13852</v>
      </c>
      <c r="L137" s="22">
        <v>16230</v>
      </c>
      <c r="M137" s="22">
        <v>10757</v>
      </c>
    </row>
    <row r="138" spans="2:13" ht="12.75" x14ac:dyDescent="0.2">
      <c r="B138" s="1" t="s">
        <v>104</v>
      </c>
      <c r="C138" s="1"/>
      <c r="D138" s="25">
        <v>0</v>
      </c>
      <c r="E138" s="25">
        <v>0</v>
      </c>
      <c r="F138" s="25">
        <v>0</v>
      </c>
      <c r="G138" s="25">
        <v>0</v>
      </c>
      <c r="H138" s="22">
        <v>2510</v>
      </c>
      <c r="I138" s="22">
        <v>11933</v>
      </c>
      <c r="J138" s="22">
        <v>7995</v>
      </c>
      <c r="K138" s="22">
        <v>6003</v>
      </c>
      <c r="L138" s="22">
        <v>8434</v>
      </c>
      <c r="M138" s="22">
        <v>17167</v>
      </c>
    </row>
    <row r="139" spans="2:13" ht="12.75" x14ac:dyDescent="0.2">
      <c r="B139" s="1" t="s">
        <v>174</v>
      </c>
      <c r="C139" s="1"/>
      <c r="D139" s="25">
        <v>0</v>
      </c>
      <c r="E139" s="25">
        <v>0</v>
      </c>
      <c r="F139" s="25">
        <v>0</v>
      </c>
      <c r="G139" s="25">
        <v>0</v>
      </c>
      <c r="H139" s="22">
        <v>0</v>
      </c>
      <c r="I139" s="22">
        <v>0</v>
      </c>
      <c r="J139" s="22">
        <v>2762</v>
      </c>
      <c r="K139" s="22">
        <v>10611</v>
      </c>
      <c r="L139" s="22">
        <v>18407</v>
      </c>
      <c r="M139" s="22">
        <v>11997</v>
      </c>
    </row>
    <row r="140" spans="2:13" ht="12.75" x14ac:dyDescent="0.2">
      <c r="B140" s="1"/>
      <c r="C140" s="1"/>
      <c r="D140" s="1"/>
      <c r="E140" s="1"/>
      <c r="F140" s="1"/>
      <c r="G140" s="1"/>
    </row>
    <row r="141" spans="2:13" ht="12.75" x14ac:dyDescent="0.2">
      <c r="B141" s="1" t="s">
        <v>183</v>
      </c>
      <c r="C141" s="1"/>
      <c r="D141" s="1"/>
      <c r="E141" s="1"/>
      <c r="F141" s="1"/>
      <c r="G141" s="1"/>
    </row>
    <row r="142" spans="2:13" ht="12.75" x14ac:dyDescent="0.2">
      <c r="B142" s="1"/>
      <c r="C142" s="1"/>
      <c r="D142" s="1"/>
      <c r="E142" s="1"/>
      <c r="F142" s="1"/>
      <c r="G142" s="1"/>
    </row>
    <row r="143" spans="2:13" ht="12.75" x14ac:dyDescent="0.2">
      <c r="B143" s="1" t="s">
        <v>171</v>
      </c>
      <c r="C143" s="1"/>
      <c r="D143" s="25">
        <v>0</v>
      </c>
      <c r="E143" s="25">
        <v>0</v>
      </c>
      <c r="F143" s="25">
        <v>0</v>
      </c>
      <c r="G143" s="25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8269</v>
      </c>
      <c r="M143" s="22">
        <v>13969</v>
      </c>
    </row>
    <row r="144" spans="2:13" ht="12.75" x14ac:dyDescent="0.2">
      <c r="B144" s="1" t="s">
        <v>179</v>
      </c>
      <c r="C144" s="1"/>
      <c r="D144" s="25">
        <v>0</v>
      </c>
      <c r="E144" s="25">
        <v>0</v>
      </c>
      <c r="F144" s="25">
        <v>0</v>
      </c>
      <c r="G144" s="25">
        <v>0</v>
      </c>
      <c r="H144" s="22">
        <v>0</v>
      </c>
      <c r="I144" s="22">
        <v>37000</v>
      </c>
      <c r="J144" s="22">
        <v>34000</v>
      </c>
      <c r="K144" s="22">
        <v>58000</v>
      </c>
      <c r="L144" s="22">
        <v>34000</v>
      </c>
      <c r="M144" s="22">
        <v>50000</v>
      </c>
    </row>
    <row r="145" spans="2:13" ht="12.75" x14ac:dyDescent="0.2">
      <c r="B145" s="1" t="s">
        <v>104</v>
      </c>
      <c r="C145" s="1"/>
      <c r="D145" s="25">
        <v>0</v>
      </c>
      <c r="E145" s="25">
        <v>0</v>
      </c>
      <c r="F145" s="25">
        <v>0</v>
      </c>
      <c r="G145" s="25">
        <v>0</v>
      </c>
      <c r="H145" s="22">
        <v>0</v>
      </c>
      <c r="I145" s="22">
        <v>37000</v>
      </c>
      <c r="J145" s="22">
        <v>34000</v>
      </c>
      <c r="K145" s="22">
        <v>49731</v>
      </c>
      <c r="L145" s="22">
        <v>28300</v>
      </c>
      <c r="M145" s="22">
        <v>41622</v>
      </c>
    </row>
    <row r="146" spans="2:13" ht="12.75" x14ac:dyDescent="0.2">
      <c r="B146" s="1" t="s">
        <v>174</v>
      </c>
      <c r="C146" s="1"/>
      <c r="D146" s="25">
        <v>0</v>
      </c>
      <c r="E146" s="25">
        <v>0</v>
      </c>
      <c r="F146" s="25">
        <v>0</v>
      </c>
      <c r="G146" s="25">
        <v>0</v>
      </c>
      <c r="H146" s="22">
        <v>0</v>
      </c>
      <c r="I146" s="22">
        <v>0</v>
      </c>
      <c r="J146" s="22">
        <v>0</v>
      </c>
      <c r="K146" s="22">
        <v>8269</v>
      </c>
      <c r="L146" s="22">
        <v>13969</v>
      </c>
      <c r="M146" s="22">
        <v>22347</v>
      </c>
    </row>
    <row r="147" spans="2:13" ht="12.75" x14ac:dyDescent="0.2">
      <c r="B147" s="1"/>
      <c r="C147" s="1"/>
      <c r="D147" s="1"/>
      <c r="E147" s="1"/>
      <c r="F147" s="1"/>
      <c r="G147" s="1"/>
    </row>
    <row r="148" spans="2:13" ht="12.75" x14ac:dyDescent="0.2">
      <c r="B148" s="1" t="s">
        <v>184</v>
      </c>
      <c r="C148" s="1"/>
      <c r="D148" s="1"/>
      <c r="E148" s="1"/>
      <c r="F148" s="1"/>
      <c r="G148" s="1"/>
    </row>
    <row r="149" spans="2:13" ht="12.75" x14ac:dyDescent="0.2">
      <c r="B149" s="1"/>
      <c r="C149" s="1"/>
      <c r="D149" s="1"/>
      <c r="E149" s="1"/>
      <c r="F149" s="1"/>
      <c r="G149" s="1"/>
    </row>
    <row r="150" spans="2:13" ht="12.75" x14ac:dyDescent="0.2">
      <c r="B150" s="1" t="s">
        <v>171</v>
      </c>
      <c r="C150" s="1"/>
      <c r="D150" s="25">
        <v>0</v>
      </c>
      <c r="E150" s="25">
        <v>0</v>
      </c>
      <c r="F150" s="25">
        <v>0</v>
      </c>
      <c r="G150" s="25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928</v>
      </c>
      <c r="M150" s="22">
        <v>1702</v>
      </c>
    </row>
    <row r="151" spans="2:13" ht="12.75" x14ac:dyDescent="0.2">
      <c r="B151" s="1" t="s">
        <v>179</v>
      </c>
      <c r="C151" s="1"/>
      <c r="D151" s="25">
        <v>0</v>
      </c>
      <c r="E151" s="25">
        <v>0</v>
      </c>
      <c r="F151" s="25">
        <v>0</v>
      </c>
      <c r="G151" s="25">
        <v>0</v>
      </c>
      <c r="H151" s="22">
        <v>0</v>
      </c>
      <c r="I151" s="22">
        <v>4184</v>
      </c>
      <c r="J151" s="22">
        <v>3840</v>
      </c>
      <c r="K151" s="22">
        <v>6510</v>
      </c>
      <c r="L151" s="22">
        <v>4221</v>
      </c>
      <c r="M151" s="22">
        <v>5663</v>
      </c>
    </row>
    <row r="152" spans="2:13" ht="12.75" x14ac:dyDescent="0.2">
      <c r="B152" s="1" t="s">
        <v>104</v>
      </c>
      <c r="C152" s="1"/>
      <c r="D152" s="25">
        <v>0</v>
      </c>
      <c r="E152" s="25">
        <v>0</v>
      </c>
      <c r="F152" s="25">
        <v>0</v>
      </c>
      <c r="G152" s="25">
        <v>0</v>
      </c>
      <c r="H152" s="22">
        <v>0</v>
      </c>
      <c r="I152" s="22">
        <v>4184</v>
      </c>
      <c r="J152" s="22">
        <v>3840</v>
      </c>
      <c r="K152" s="22">
        <v>5582</v>
      </c>
      <c r="L152" s="22">
        <v>3447</v>
      </c>
      <c r="M152" s="22">
        <v>4792</v>
      </c>
    </row>
    <row r="153" spans="2:13" ht="12.75" x14ac:dyDescent="0.2">
      <c r="B153" s="1" t="s">
        <v>174</v>
      </c>
      <c r="C153" s="1"/>
      <c r="D153" s="25">
        <v>0</v>
      </c>
      <c r="E153" s="25">
        <v>0</v>
      </c>
      <c r="F153" s="25">
        <v>0</v>
      </c>
      <c r="G153" s="25">
        <v>0</v>
      </c>
      <c r="H153" s="22">
        <v>0</v>
      </c>
      <c r="I153" s="22">
        <v>0</v>
      </c>
      <c r="J153" s="22">
        <v>0</v>
      </c>
      <c r="K153" s="22">
        <v>928</v>
      </c>
      <c r="L153" s="22">
        <v>1702</v>
      </c>
      <c r="M153" s="22">
        <v>2573</v>
      </c>
    </row>
    <row r="154" spans="2:13" ht="12.75" x14ac:dyDescent="0.2">
      <c r="B154" s="1"/>
      <c r="C154" s="1"/>
      <c r="D154" s="1"/>
      <c r="E154" s="1"/>
      <c r="F154" s="1"/>
      <c r="G154" s="1"/>
    </row>
    <row r="155" spans="2:13" ht="12.75" x14ac:dyDescent="0.2">
      <c r="B155" s="1" t="s">
        <v>185</v>
      </c>
      <c r="C155" s="1"/>
      <c r="D155" s="1"/>
      <c r="E155" s="1"/>
      <c r="F155" s="1"/>
      <c r="G155" s="1"/>
    </row>
    <row r="156" spans="2:13" ht="12.75" x14ac:dyDescent="0.2">
      <c r="B156" s="1"/>
      <c r="C156" s="1"/>
      <c r="D156" s="1"/>
      <c r="E156" s="1"/>
      <c r="F156" s="1"/>
      <c r="G156" s="1"/>
    </row>
    <row r="157" spans="2:13" ht="12.75" x14ac:dyDescent="0.2">
      <c r="B157" s="1" t="s">
        <v>186</v>
      </c>
      <c r="C157" s="1"/>
      <c r="D157" s="1" t="s">
        <v>187</v>
      </c>
      <c r="E157" s="1" t="s">
        <v>188</v>
      </c>
      <c r="F157" s="1" t="s">
        <v>189</v>
      </c>
      <c r="G157" s="1" t="s">
        <v>190</v>
      </c>
      <c r="H157" s="22" t="s">
        <v>191</v>
      </c>
      <c r="I157" s="22" t="s">
        <v>192</v>
      </c>
      <c r="J157" s="22" t="s">
        <v>193</v>
      </c>
      <c r="K157" s="22" t="s">
        <v>194</v>
      </c>
      <c r="L157" s="22" t="s">
        <v>191</v>
      </c>
      <c r="M157" s="22" t="s">
        <v>195</v>
      </c>
    </row>
    <row r="158" spans="2:13" ht="12.75" x14ac:dyDescent="0.2">
      <c r="B158" s="1" t="s">
        <v>196</v>
      </c>
      <c r="C158" s="1"/>
      <c r="D158" s="1" t="s">
        <v>197</v>
      </c>
      <c r="E158" s="1" t="s">
        <v>198</v>
      </c>
      <c r="F158" s="1" t="s">
        <v>194</v>
      </c>
      <c r="G158" s="1" t="s">
        <v>199</v>
      </c>
      <c r="H158" s="22" t="s">
        <v>200</v>
      </c>
      <c r="I158" s="22" t="s">
        <v>201</v>
      </c>
      <c r="J158" s="22" t="s">
        <v>202</v>
      </c>
      <c r="K158" s="22" t="s">
        <v>203</v>
      </c>
      <c r="L158" s="5">
        <v>46114</v>
      </c>
      <c r="M158" s="22" t="s">
        <v>204</v>
      </c>
    </row>
    <row r="159" spans="2:13" ht="12.75" x14ac:dyDescent="0.2">
      <c r="B159" s="1" t="s">
        <v>205</v>
      </c>
      <c r="C159" s="1"/>
      <c r="D159" s="1" t="s">
        <v>206</v>
      </c>
      <c r="E159" s="1" t="s">
        <v>207</v>
      </c>
      <c r="F159" s="1" t="s">
        <v>208</v>
      </c>
      <c r="G159" s="1" t="s">
        <v>209</v>
      </c>
      <c r="H159" s="22" t="s">
        <v>210</v>
      </c>
      <c r="I159" s="22" t="s">
        <v>211</v>
      </c>
      <c r="J159" s="22" t="s">
        <v>212</v>
      </c>
      <c r="K159" s="22" t="s">
        <v>213</v>
      </c>
      <c r="L159" s="22" t="s">
        <v>214</v>
      </c>
      <c r="M159" s="22" t="s">
        <v>215</v>
      </c>
    </row>
    <row r="160" spans="2:13" ht="12.75" x14ac:dyDescent="0.2">
      <c r="B160" s="1" t="s">
        <v>216</v>
      </c>
      <c r="C160" s="1"/>
      <c r="D160" s="25">
        <v>47387</v>
      </c>
      <c r="E160" s="25">
        <v>48992</v>
      </c>
      <c r="F160" s="25">
        <v>47338</v>
      </c>
      <c r="G160" s="25">
        <v>43635</v>
      </c>
      <c r="H160" s="22">
        <v>46452</v>
      </c>
      <c r="I160" s="22">
        <v>46540</v>
      </c>
      <c r="J160" s="22">
        <v>49600</v>
      </c>
      <c r="K160" s="22">
        <v>50874</v>
      </c>
      <c r="L160" s="22">
        <v>51867</v>
      </c>
      <c r="M160" s="22">
        <v>64279</v>
      </c>
    </row>
    <row r="161" spans="2:34" ht="12.75" x14ac:dyDescent="0.2">
      <c r="B161" s="1" t="s">
        <v>217</v>
      </c>
      <c r="C161" s="1"/>
      <c r="D161" s="25">
        <v>46337</v>
      </c>
      <c r="E161" s="25">
        <v>48946</v>
      </c>
      <c r="F161" s="25">
        <v>37538</v>
      </c>
      <c r="G161" s="25">
        <v>28501</v>
      </c>
      <c r="H161" s="22">
        <v>39925</v>
      </c>
      <c r="I161" s="22">
        <v>42120</v>
      </c>
      <c r="J161" s="22">
        <v>36245</v>
      </c>
      <c r="K161" s="22">
        <v>48246</v>
      </c>
      <c r="L161" s="22">
        <v>49439</v>
      </c>
      <c r="M161" s="22">
        <v>76658</v>
      </c>
    </row>
    <row r="162" spans="2:34" ht="12.75" x14ac:dyDescent="0.2">
      <c r="B162" s="1"/>
      <c r="C162" s="1"/>
      <c r="D162" s="1"/>
      <c r="E162" s="1"/>
      <c r="F162" s="1"/>
      <c r="G162" s="1"/>
    </row>
    <row r="163" spans="2:34" ht="12.75" x14ac:dyDescent="0.2">
      <c r="B163" s="1" t="s">
        <v>218</v>
      </c>
      <c r="C163" s="1"/>
      <c r="D163" s="1"/>
      <c r="E163" s="1"/>
      <c r="F163" s="1"/>
      <c r="G163" s="1"/>
    </row>
    <row r="164" spans="2:34" ht="12.75" x14ac:dyDescent="0.2">
      <c r="B164" s="1"/>
      <c r="C164" s="1"/>
      <c r="D164" s="1"/>
      <c r="E164" s="1"/>
      <c r="F164" s="1"/>
      <c r="G164" s="1"/>
    </row>
    <row r="165" spans="2:34" ht="12.75" x14ac:dyDescent="0.2">
      <c r="B165" s="1" t="s">
        <v>219</v>
      </c>
      <c r="C165" s="1"/>
      <c r="D165" s="1" t="s">
        <v>17</v>
      </c>
      <c r="E165" s="1" t="s">
        <v>17</v>
      </c>
      <c r="F165" s="1" t="s">
        <v>17</v>
      </c>
      <c r="G165" s="1" t="s">
        <v>17</v>
      </c>
      <c r="H165" s="22" t="s">
        <v>17</v>
      </c>
      <c r="I165" s="22" t="s">
        <v>220</v>
      </c>
      <c r="J165" s="22" t="s">
        <v>220</v>
      </c>
      <c r="K165" s="22" t="s">
        <v>220</v>
      </c>
      <c r="L165" s="22" t="s">
        <v>220</v>
      </c>
      <c r="M165" s="22" t="s">
        <v>220</v>
      </c>
    </row>
    <row r="166" spans="2:34" ht="12.75" x14ac:dyDescent="0.2">
      <c r="B166" s="1" t="s">
        <v>221</v>
      </c>
      <c r="C166" s="1"/>
      <c r="D166" s="1" t="s">
        <v>17</v>
      </c>
      <c r="E166" s="1" t="s">
        <v>17</v>
      </c>
      <c r="F166" s="1" t="s">
        <v>17</v>
      </c>
      <c r="G166" s="1" t="s">
        <v>17</v>
      </c>
      <c r="H166" s="22" t="s">
        <v>17</v>
      </c>
      <c r="I166" s="22" t="s">
        <v>222</v>
      </c>
      <c r="J166" s="22" t="s">
        <v>223</v>
      </c>
      <c r="K166" s="22" t="s">
        <v>224</v>
      </c>
      <c r="L166" s="22" t="s">
        <v>225</v>
      </c>
      <c r="M166" s="22" t="s">
        <v>226</v>
      </c>
    </row>
    <row r="167" spans="2:34" ht="12.75" x14ac:dyDescent="0.2">
      <c r="B167" s="1" t="s">
        <v>227</v>
      </c>
      <c r="C167" s="1"/>
      <c r="D167" s="1" t="s">
        <v>17</v>
      </c>
      <c r="E167" s="1" t="s">
        <v>17</v>
      </c>
      <c r="F167" s="1" t="s">
        <v>17</v>
      </c>
      <c r="G167" s="1" t="s">
        <v>17</v>
      </c>
      <c r="H167" s="22" t="s">
        <v>17</v>
      </c>
      <c r="I167" s="22" t="s">
        <v>220</v>
      </c>
      <c r="J167" s="22" t="s">
        <v>220</v>
      </c>
      <c r="K167" s="22" t="s">
        <v>220</v>
      </c>
      <c r="L167" s="22" t="s">
        <v>220</v>
      </c>
      <c r="M167" s="22" t="s">
        <v>220</v>
      </c>
    </row>
    <row r="168" spans="2:34" ht="12.75" x14ac:dyDescent="0.2">
      <c r="B168" s="1" t="s">
        <v>228</v>
      </c>
      <c r="C168" s="1"/>
      <c r="D168" s="1" t="s">
        <v>17</v>
      </c>
      <c r="E168" s="1" t="s">
        <v>17</v>
      </c>
      <c r="F168" s="1" t="s">
        <v>17</v>
      </c>
      <c r="G168" s="1" t="s">
        <v>17</v>
      </c>
      <c r="H168" s="22" t="s">
        <v>17</v>
      </c>
      <c r="I168" s="22" t="s">
        <v>229</v>
      </c>
      <c r="J168" s="22" t="s">
        <v>230</v>
      </c>
      <c r="K168" s="22" t="s">
        <v>231</v>
      </c>
      <c r="L168" s="22" t="s">
        <v>232</v>
      </c>
      <c r="M168" s="22" t="s">
        <v>233</v>
      </c>
    </row>
    <row r="169" spans="2:34" ht="12.75" x14ac:dyDescent="0.2">
      <c r="B169" s="1" t="s">
        <v>234</v>
      </c>
      <c r="C169" s="1"/>
      <c r="D169" s="1" t="s">
        <v>17</v>
      </c>
      <c r="E169" s="1" t="s">
        <v>17</v>
      </c>
      <c r="F169" s="1" t="s">
        <v>17</v>
      </c>
      <c r="G169" s="1" t="s">
        <v>17</v>
      </c>
      <c r="H169" s="22" t="s">
        <v>17</v>
      </c>
      <c r="I169" s="22" t="s">
        <v>17</v>
      </c>
      <c r="J169" s="22" t="s">
        <v>17</v>
      </c>
      <c r="K169" s="22" t="s">
        <v>235</v>
      </c>
      <c r="L169" s="22" t="s">
        <v>236</v>
      </c>
      <c r="M169" s="22" t="s">
        <v>237</v>
      </c>
    </row>
    <row r="170" spans="2:34" ht="12.75" x14ac:dyDescent="0.2">
      <c r="B170" s="1" t="s">
        <v>238</v>
      </c>
      <c r="C170" s="1"/>
      <c r="D170" s="1" t="s">
        <v>17</v>
      </c>
      <c r="E170" s="1" t="s">
        <v>239</v>
      </c>
      <c r="F170" s="1" t="s">
        <v>240</v>
      </c>
      <c r="G170" s="1" t="s">
        <v>241</v>
      </c>
      <c r="H170" s="22" t="s">
        <v>242</v>
      </c>
      <c r="I170" s="22" t="s">
        <v>243</v>
      </c>
      <c r="J170" s="22" t="s">
        <v>244</v>
      </c>
      <c r="K170" s="22" t="s">
        <v>245</v>
      </c>
      <c r="L170" s="22" t="s">
        <v>223</v>
      </c>
      <c r="M170" s="22" t="s">
        <v>245</v>
      </c>
    </row>
    <row r="171" spans="2:34" ht="12.75" x14ac:dyDescent="0.2">
      <c r="B171" s="1" t="s">
        <v>246</v>
      </c>
      <c r="C171" s="1"/>
      <c r="D171" s="1" t="s">
        <v>17</v>
      </c>
      <c r="E171" s="1" t="s">
        <v>17</v>
      </c>
      <c r="F171" s="1" t="s">
        <v>190</v>
      </c>
      <c r="G171" s="1" t="s">
        <v>247</v>
      </c>
      <c r="H171" s="22" t="s">
        <v>248</v>
      </c>
      <c r="I171" s="22" t="s">
        <v>249</v>
      </c>
      <c r="J171" s="22" t="s">
        <v>250</v>
      </c>
      <c r="K171" s="22" t="s">
        <v>224</v>
      </c>
      <c r="L171" s="22" t="s">
        <v>251</v>
      </c>
      <c r="M171" s="22" t="s">
        <v>252</v>
      </c>
    </row>
    <row r="172" spans="2:34" ht="12.75" x14ac:dyDescent="0.2">
      <c r="B172" s="1" t="s">
        <v>253</v>
      </c>
      <c r="C172" s="1"/>
      <c r="D172" s="1" t="s">
        <v>17</v>
      </c>
      <c r="E172" s="1" t="s">
        <v>17</v>
      </c>
      <c r="F172" s="1" t="s">
        <v>17</v>
      </c>
      <c r="G172" s="1" t="s">
        <v>17</v>
      </c>
      <c r="H172" s="22" t="s">
        <v>254</v>
      </c>
      <c r="I172" s="22" t="s">
        <v>255</v>
      </c>
      <c r="J172" s="22" t="s">
        <v>256</v>
      </c>
      <c r="K172" s="22" t="s">
        <v>257</v>
      </c>
      <c r="L172" s="22" t="s">
        <v>256</v>
      </c>
      <c r="M172" s="22" t="s">
        <v>258</v>
      </c>
    </row>
    <row r="176" spans="2:34" ht="30" x14ac:dyDescent="0.4">
      <c r="B176" s="6" t="s">
        <v>259</v>
      </c>
      <c r="C176" s="22" t="s">
        <v>260</v>
      </c>
      <c r="D176" s="41" t="s">
        <v>261</v>
      </c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1" t="s">
        <v>6</v>
      </c>
      <c r="Y176" s="40"/>
      <c r="Z176" s="40"/>
      <c r="AA176" s="40"/>
      <c r="AB176" s="40"/>
      <c r="AC176" s="40"/>
      <c r="AD176" s="41" t="s">
        <v>262</v>
      </c>
      <c r="AE176" s="40"/>
      <c r="AF176" s="40"/>
      <c r="AG176" s="40"/>
      <c r="AH176" s="40"/>
    </row>
    <row r="178" spans="3:36" ht="12.75" x14ac:dyDescent="0.2">
      <c r="E178" s="39">
        <v>1</v>
      </c>
      <c r="F178" s="40"/>
      <c r="G178" s="40"/>
      <c r="H178" s="40"/>
      <c r="I178" s="40"/>
      <c r="J178" s="39" t="s">
        <v>263</v>
      </c>
      <c r="K178" s="40"/>
      <c r="L178" s="40"/>
      <c r="M178" s="40"/>
      <c r="N178" s="40"/>
      <c r="O178" s="40"/>
      <c r="P178" s="40"/>
      <c r="Q178" s="40"/>
      <c r="R178" s="40"/>
      <c r="S178" s="40"/>
      <c r="T178" s="39">
        <v>200</v>
      </c>
      <c r="U178" s="40"/>
      <c r="V178" s="40"/>
      <c r="W178" s="40"/>
      <c r="X178" s="40"/>
      <c r="Y178" s="40"/>
      <c r="Z178" s="40"/>
      <c r="AA178" s="40"/>
      <c r="AB178" s="40"/>
      <c r="AC178" s="40"/>
      <c r="AD178" s="39">
        <v>80</v>
      </c>
      <c r="AE178" s="40"/>
      <c r="AF178" s="40"/>
      <c r="AG178" s="40"/>
      <c r="AH178" s="40"/>
      <c r="AI178" s="40"/>
      <c r="AJ178" s="40"/>
    </row>
    <row r="179" spans="3:36" ht="12.75" x14ac:dyDescent="0.2">
      <c r="D179" s="40"/>
      <c r="E179" s="40"/>
      <c r="F179" s="40"/>
      <c r="G179" s="40"/>
      <c r="H179" s="40"/>
      <c r="I179" s="40"/>
      <c r="J179" s="39" t="s">
        <v>264</v>
      </c>
      <c r="K179" s="40"/>
      <c r="L179" s="40"/>
      <c r="M179" s="40"/>
      <c r="N179" s="40"/>
      <c r="O179" s="40"/>
      <c r="P179" s="40"/>
      <c r="Q179" s="40"/>
      <c r="R179" s="40"/>
      <c r="S179" s="40"/>
      <c r="T179" s="39" t="s">
        <v>265</v>
      </c>
      <c r="U179" s="40"/>
      <c r="V179" s="40"/>
      <c r="W179" s="40"/>
      <c r="X179" s="40"/>
      <c r="Y179" s="40"/>
      <c r="Z179" s="40"/>
      <c r="AA179" s="40"/>
      <c r="AB179" s="40"/>
      <c r="AC179" s="40"/>
      <c r="AD179" s="39" t="s">
        <v>265</v>
      </c>
      <c r="AE179" s="40"/>
      <c r="AF179" s="40"/>
      <c r="AG179" s="40"/>
      <c r="AH179" s="40"/>
      <c r="AI179" s="40"/>
      <c r="AJ179" s="40"/>
    </row>
    <row r="180" spans="3:36" ht="12.75" x14ac:dyDescent="0.2">
      <c r="E180" s="39">
        <v>2</v>
      </c>
      <c r="F180" s="40"/>
      <c r="G180" s="40"/>
      <c r="H180" s="40"/>
      <c r="I180" s="40"/>
      <c r="J180" s="39" t="s">
        <v>263</v>
      </c>
      <c r="K180" s="40"/>
      <c r="L180" s="40"/>
      <c r="M180" s="40"/>
      <c r="N180" s="40"/>
      <c r="O180" s="40"/>
      <c r="P180" s="40"/>
      <c r="Q180" s="40"/>
      <c r="R180" s="40"/>
      <c r="S180" s="40"/>
      <c r="T180" s="39">
        <v>200</v>
      </c>
      <c r="U180" s="40"/>
      <c r="V180" s="40"/>
      <c r="W180" s="40"/>
      <c r="X180" s="40"/>
      <c r="Y180" s="40"/>
      <c r="Z180" s="40"/>
      <c r="AA180" s="40"/>
      <c r="AB180" s="40"/>
      <c r="AC180" s="40"/>
      <c r="AD180" s="39">
        <v>80</v>
      </c>
      <c r="AE180" s="40"/>
      <c r="AF180" s="40"/>
      <c r="AG180" s="40"/>
      <c r="AH180" s="40"/>
      <c r="AI180" s="40"/>
      <c r="AJ180" s="40"/>
    </row>
    <row r="181" spans="3:36" ht="12.75" x14ac:dyDescent="0.2">
      <c r="D181" s="40"/>
      <c r="E181" s="40"/>
      <c r="F181" s="40"/>
      <c r="G181" s="40"/>
      <c r="H181" s="40"/>
      <c r="I181" s="40"/>
      <c r="J181" s="39" t="s">
        <v>264</v>
      </c>
      <c r="K181" s="40"/>
      <c r="L181" s="40"/>
      <c r="M181" s="40"/>
      <c r="N181" s="40"/>
      <c r="O181" s="40"/>
      <c r="P181" s="40"/>
      <c r="Q181" s="40"/>
      <c r="R181" s="40"/>
      <c r="S181" s="40"/>
      <c r="T181" s="39" t="s">
        <v>265</v>
      </c>
      <c r="U181" s="40"/>
      <c r="V181" s="40"/>
      <c r="W181" s="40"/>
      <c r="X181" s="40"/>
      <c r="Y181" s="40"/>
      <c r="Z181" s="40"/>
      <c r="AA181" s="40"/>
      <c r="AB181" s="40"/>
      <c r="AC181" s="40"/>
      <c r="AD181" s="39" t="s">
        <v>265</v>
      </c>
      <c r="AE181" s="40"/>
      <c r="AF181" s="40"/>
      <c r="AG181" s="40"/>
      <c r="AH181" s="40"/>
      <c r="AI181" s="40"/>
      <c r="AJ181" s="40"/>
    </row>
    <row r="182" spans="3:36" ht="12.75" x14ac:dyDescent="0.2">
      <c r="E182" s="39">
        <v>3</v>
      </c>
      <c r="F182" s="40"/>
      <c r="G182" s="40"/>
      <c r="H182" s="40"/>
      <c r="I182" s="40"/>
      <c r="J182" s="39" t="s">
        <v>263</v>
      </c>
      <c r="K182" s="40"/>
      <c r="L182" s="40"/>
      <c r="M182" s="40"/>
      <c r="N182" s="40"/>
      <c r="O182" s="40"/>
      <c r="P182" s="40"/>
      <c r="Q182" s="40"/>
      <c r="R182" s="40"/>
      <c r="S182" s="40"/>
      <c r="T182" s="39">
        <v>200</v>
      </c>
      <c r="U182" s="40"/>
      <c r="V182" s="40"/>
      <c r="W182" s="40"/>
      <c r="X182" s="40"/>
      <c r="Y182" s="40"/>
      <c r="Z182" s="40"/>
      <c r="AA182" s="40"/>
      <c r="AB182" s="40"/>
      <c r="AC182" s="40"/>
      <c r="AD182" s="39">
        <v>80</v>
      </c>
      <c r="AE182" s="40"/>
      <c r="AF182" s="40"/>
      <c r="AG182" s="40"/>
      <c r="AH182" s="40"/>
      <c r="AI182" s="40"/>
      <c r="AJ182" s="40"/>
    </row>
    <row r="183" spans="3:36" ht="12.75" x14ac:dyDescent="0.2">
      <c r="D183" s="40"/>
      <c r="E183" s="40"/>
      <c r="F183" s="40"/>
      <c r="G183" s="40"/>
      <c r="H183" s="40"/>
      <c r="I183" s="40"/>
      <c r="J183" s="39" t="s">
        <v>264</v>
      </c>
      <c r="K183" s="40"/>
      <c r="L183" s="40"/>
      <c r="M183" s="40"/>
      <c r="N183" s="40"/>
      <c r="O183" s="40"/>
      <c r="P183" s="40"/>
      <c r="Q183" s="40"/>
      <c r="R183" s="40"/>
      <c r="S183" s="40"/>
      <c r="T183" s="39" t="s">
        <v>265</v>
      </c>
      <c r="U183" s="40"/>
      <c r="V183" s="40"/>
      <c r="W183" s="40"/>
      <c r="X183" s="40"/>
      <c r="Y183" s="40"/>
      <c r="Z183" s="40"/>
      <c r="AA183" s="40"/>
      <c r="AB183" s="40"/>
      <c r="AC183" s="40"/>
      <c r="AD183" s="39" t="s">
        <v>265</v>
      </c>
      <c r="AE183" s="40"/>
      <c r="AF183" s="40"/>
      <c r="AG183" s="40"/>
      <c r="AH183" s="40"/>
      <c r="AI183" s="40"/>
      <c r="AJ183" s="40"/>
    </row>
    <row r="184" spans="3:36" ht="12.75" x14ac:dyDescent="0.2">
      <c r="E184" s="39">
        <v>4</v>
      </c>
      <c r="F184" s="40"/>
      <c r="G184" s="40"/>
      <c r="H184" s="40"/>
      <c r="I184" s="40"/>
      <c r="J184" s="39" t="s">
        <v>263</v>
      </c>
      <c r="K184" s="40"/>
      <c r="L184" s="40"/>
      <c r="M184" s="40"/>
      <c r="N184" s="40"/>
      <c r="O184" s="40"/>
      <c r="P184" s="40"/>
      <c r="Q184" s="40"/>
      <c r="R184" s="40"/>
      <c r="S184" s="40"/>
      <c r="T184" s="39">
        <v>200</v>
      </c>
      <c r="U184" s="40"/>
      <c r="V184" s="40"/>
      <c r="W184" s="40"/>
      <c r="X184" s="40"/>
      <c r="Y184" s="40"/>
      <c r="Z184" s="40"/>
      <c r="AA184" s="40"/>
      <c r="AB184" s="40"/>
      <c r="AC184" s="40"/>
      <c r="AD184" s="39">
        <v>80</v>
      </c>
      <c r="AE184" s="40"/>
      <c r="AF184" s="40"/>
      <c r="AG184" s="40"/>
      <c r="AH184" s="40"/>
      <c r="AI184" s="40"/>
      <c r="AJ184" s="40"/>
    </row>
    <row r="185" spans="3:36" ht="12.75" x14ac:dyDescent="0.2">
      <c r="D185" s="40"/>
      <c r="E185" s="40"/>
      <c r="F185" s="40"/>
      <c r="G185" s="40"/>
      <c r="H185" s="40"/>
      <c r="I185" s="40"/>
      <c r="J185" s="39" t="s">
        <v>264</v>
      </c>
      <c r="K185" s="40"/>
      <c r="L185" s="40"/>
      <c r="M185" s="40"/>
      <c r="N185" s="40"/>
      <c r="O185" s="40"/>
      <c r="P185" s="40"/>
      <c r="Q185" s="40"/>
      <c r="R185" s="40"/>
      <c r="S185" s="40"/>
      <c r="T185" s="39" t="s">
        <v>265</v>
      </c>
      <c r="U185" s="40"/>
      <c r="V185" s="40"/>
      <c r="W185" s="40"/>
      <c r="X185" s="40"/>
      <c r="Y185" s="40"/>
      <c r="Z185" s="40"/>
      <c r="AA185" s="40"/>
      <c r="AB185" s="40"/>
      <c r="AC185" s="40"/>
      <c r="AD185" s="39" t="s">
        <v>265</v>
      </c>
      <c r="AE185" s="40"/>
      <c r="AF185" s="40"/>
      <c r="AG185" s="40"/>
      <c r="AH185" s="40"/>
      <c r="AI185" s="40"/>
      <c r="AJ185" s="40"/>
    </row>
    <row r="186" spans="3:36" ht="12.75" x14ac:dyDescent="0.2">
      <c r="E186" s="39">
        <v>5</v>
      </c>
      <c r="F186" s="40"/>
      <c r="G186" s="40"/>
      <c r="H186" s="40"/>
      <c r="I186" s="40"/>
      <c r="J186" s="39" t="s">
        <v>263</v>
      </c>
      <c r="K186" s="40"/>
      <c r="L186" s="40"/>
      <c r="M186" s="40"/>
      <c r="N186" s="40"/>
      <c r="O186" s="40"/>
      <c r="P186" s="40"/>
      <c r="Q186" s="40"/>
      <c r="R186" s="40"/>
      <c r="S186" s="40"/>
      <c r="T186" s="39">
        <v>200</v>
      </c>
      <c r="U186" s="40"/>
      <c r="V186" s="40"/>
      <c r="W186" s="40"/>
      <c r="X186" s="40"/>
      <c r="Y186" s="40"/>
      <c r="Z186" s="40"/>
      <c r="AA186" s="40"/>
      <c r="AB186" s="40"/>
      <c r="AC186" s="40"/>
      <c r="AD186" s="39">
        <v>80</v>
      </c>
      <c r="AE186" s="40"/>
      <c r="AF186" s="40"/>
      <c r="AG186" s="40"/>
      <c r="AH186" s="40"/>
      <c r="AI186" s="40"/>
      <c r="AJ186" s="40"/>
    </row>
    <row r="187" spans="3:36" ht="12.75" x14ac:dyDescent="0.2">
      <c r="D187" s="40"/>
      <c r="E187" s="40"/>
      <c r="F187" s="40"/>
      <c r="G187" s="40"/>
      <c r="H187" s="40"/>
      <c r="I187" s="40"/>
      <c r="J187" s="39" t="s">
        <v>264</v>
      </c>
      <c r="K187" s="40"/>
      <c r="L187" s="40"/>
      <c r="M187" s="40"/>
      <c r="N187" s="40"/>
      <c r="O187" s="40"/>
      <c r="P187" s="40"/>
      <c r="Q187" s="40"/>
      <c r="R187" s="40"/>
      <c r="S187" s="40"/>
      <c r="T187" s="39" t="s">
        <v>265</v>
      </c>
      <c r="U187" s="40"/>
      <c r="V187" s="40"/>
      <c r="W187" s="40"/>
      <c r="X187" s="40"/>
      <c r="Y187" s="40"/>
      <c r="Z187" s="40"/>
      <c r="AA187" s="40"/>
      <c r="AB187" s="40"/>
      <c r="AC187" s="40"/>
      <c r="AD187" s="39" t="s">
        <v>265</v>
      </c>
      <c r="AE187" s="40"/>
      <c r="AF187" s="40"/>
      <c r="AG187" s="40"/>
      <c r="AH187" s="40"/>
      <c r="AI187" s="40"/>
      <c r="AJ187" s="40"/>
    </row>
    <row r="188" spans="3:36" ht="12.75" x14ac:dyDescent="0.2">
      <c r="E188" s="39">
        <v>6</v>
      </c>
      <c r="F188" s="40"/>
      <c r="G188" s="40"/>
      <c r="H188" s="40"/>
      <c r="I188" s="40"/>
      <c r="J188" s="39" t="s">
        <v>263</v>
      </c>
      <c r="K188" s="40"/>
      <c r="L188" s="40"/>
      <c r="M188" s="40"/>
      <c r="N188" s="40"/>
      <c r="O188" s="40"/>
      <c r="P188" s="40"/>
      <c r="Q188" s="40"/>
      <c r="R188" s="40"/>
      <c r="S188" s="40"/>
      <c r="T188" s="39">
        <v>200</v>
      </c>
      <c r="U188" s="40"/>
      <c r="V188" s="40"/>
      <c r="W188" s="40"/>
      <c r="X188" s="40"/>
      <c r="Y188" s="40"/>
      <c r="Z188" s="40"/>
      <c r="AA188" s="40"/>
      <c r="AB188" s="40"/>
      <c r="AC188" s="40"/>
      <c r="AD188" s="39">
        <v>80</v>
      </c>
      <c r="AE188" s="40"/>
      <c r="AF188" s="40"/>
      <c r="AG188" s="40"/>
      <c r="AH188" s="40"/>
      <c r="AI188" s="40"/>
      <c r="AJ188" s="40"/>
    </row>
    <row r="189" spans="3:36" ht="12.75" x14ac:dyDescent="0.2">
      <c r="D189" s="40"/>
      <c r="E189" s="40"/>
      <c r="F189" s="40"/>
      <c r="G189" s="40"/>
      <c r="H189" s="40"/>
      <c r="I189" s="40"/>
      <c r="J189" s="39" t="s">
        <v>264</v>
      </c>
      <c r="K189" s="40"/>
      <c r="L189" s="40"/>
      <c r="M189" s="40"/>
      <c r="N189" s="40"/>
      <c r="O189" s="40"/>
      <c r="P189" s="40"/>
      <c r="Q189" s="40"/>
      <c r="R189" s="40"/>
      <c r="S189" s="40"/>
      <c r="T189" s="39" t="s">
        <v>265</v>
      </c>
      <c r="U189" s="40"/>
      <c r="V189" s="40"/>
      <c r="W189" s="40"/>
      <c r="X189" s="40"/>
      <c r="Y189" s="40"/>
      <c r="Z189" s="40"/>
      <c r="AA189" s="40"/>
      <c r="AB189" s="40"/>
      <c r="AC189" s="40"/>
      <c r="AD189" s="39" t="s">
        <v>265</v>
      </c>
      <c r="AE189" s="40"/>
      <c r="AF189" s="40"/>
      <c r="AG189" s="40"/>
      <c r="AH189" s="40"/>
      <c r="AI189" s="40"/>
      <c r="AJ189" s="40"/>
    </row>
    <row r="190" spans="3:36" ht="12.75" x14ac:dyDescent="0.2">
      <c r="E190" s="39">
        <v>7</v>
      </c>
      <c r="F190" s="40"/>
      <c r="G190" s="40"/>
      <c r="H190" s="40"/>
      <c r="I190" s="40"/>
      <c r="J190" s="39" t="s">
        <v>263</v>
      </c>
      <c r="K190" s="40"/>
      <c r="L190" s="40"/>
      <c r="M190" s="40"/>
      <c r="N190" s="40"/>
      <c r="O190" s="40"/>
      <c r="P190" s="40"/>
      <c r="Q190" s="40"/>
      <c r="R190" s="40"/>
      <c r="S190" s="40"/>
      <c r="T190" s="39">
        <v>200</v>
      </c>
      <c r="U190" s="40"/>
      <c r="V190" s="40"/>
      <c r="W190" s="40"/>
      <c r="X190" s="40"/>
      <c r="Y190" s="40"/>
      <c r="Z190" s="40"/>
      <c r="AA190" s="40"/>
      <c r="AB190" s="40"/>
      <c r="AC190" s="40"/>
      <c r="AD190" s="39">
        <v>80</v>
      </c>
      <c r="AE190" s="40"/>
      <c r="AF190" s="40"/>
      <c r="AG190" s="40"/>
      <c r="AH190" s="40"/>
      <c r="AI190" s="40"/>
      <c r="AJ190" s="40"/>
    </row>
    <row r="191" spans="3:36" ht="12.75" x14ac:dyDescent="0.2">
      <c r="D191" s="40"/>
      <c r="E191" s="40"/>
      <c r="F191" s="40"/>
      <c r="G191" s="40"/>
      <c r="H191" s="40"/>
      <c r="I191" s="40"/>
      <c r="J191" s="39" t="s">
        <v>264</v>
      </c>
      <c r="K191" s="40"/>
      <c r="L191" s="40"/>
      <c r="M191" s="40"/>
      <c r="N191" s="40"/>
      <c r="O191" s="40"/>
      <c r="P191" s="40"/>
      <c r="Q191" s="40"/>
      <c r="R191" s="40"/>
      <c r="S191" s="40"/>
      <c r="T191" s="39" t="s">
        <v>265</v>
      </c>
      <c r="U191" s="40"/>
      <c r="V191" s="40"/>
      <c r="W191" s="40"/>
      <c r="X191" s="40"/>
      <c r="Y191" s="40"/>
      <c r="Z191" s="40"/>
      <c r="AA191" s="40"/>
      <c r="AB191" s="40"/>
      <c r="AC191" s="40"/>
      <c r="AD191" s="39" t="s">
        <v>265</v>
      </c>
      <c r="AE191" s="40"/>
      <c r="AF191" s="40"/>
      <c r="AG191" s="40"/>
      <c r="AH191" s="40"/>
      <c r="AI191" s="40"/>
      <c r="AJ191" s="40"/>
    </row>
    <row r="192" spans="3:36" ht="12.75" x14ac:dyDescent="0.2">
      <c r="C192" s="22">
        <v>1</v>
      </c>
      <c r="D192" s="41" t="s">
        <v>261</v>
      </c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1" t="s">
        <v>6</v>
      </c>
      <c r="Y192" s="40"/>
      <c r="Z192" s="40"/>
      <c r="AA192" s="40"/>
      <c r="AB192" s="40"/>
      <c r="AC192" s="40"/>
      <c r="AD192" s="41" t="s">
        <v>262</v>
      </c>
      <c r="AE192" s="40"/>
      <c r="AF192" s="40"/>
      <c r="AG192" s="40"/>
      <c r="AH192" s="40"/>
    </row>
    <row r="194" spans="3:36" ht="12.75" x14ac:dyDescent="0.2">
      <c r="E194" s="39">
        <v>1</v>
      </c>
      <c r="F194" s="40"/>
      <c r="G194" s="40"/>
      <c r="H194" s="40"/>
      <c r="I194" s="40"/>
      <c r="J194" s="39" t="s">
        <v>263</v>
      </c>
      <c r="K194" s="40"/>
      <c r="L194" s="40"/>
      <c r="M194" s="40"/>
      <c r="N194" s="40"/>
      <c r="O194" s="40"/>
      <c r="P194" s="40"/>
      <c r="Q194" s="40"/>
      <c r="R194" s="40"/>
      <c r="S194" s="40"/>
      <c r="T194" s="39">
        <v>225</v>
      </c>
      <c r="U194" s="40"/>
      <c r="V194" s="40"/>
      <c r="W194" s="40"/>
      <c r="X194" s="40"/>
      <c r="Y194" s="40"/>
      <c r="Z194" s="40"/>
      <c r="AA194" s="40"/>
      <c r="AB194" s="40"/>
      <c r="AC194" s="40"/>
      <c r="AD194" s="39">
        <v>80</v>
      </c>
      <c r="AE194" s="40"/>
      <c r="AF194" s="40"/>
      <c r="AG194" s="40"/>
      <c r="AH194" s="40"/>
      <c r="AI194" s="40"/>
      <c r="AJ194" s="40"/>
    </row>
    <row r="195" spans="3:36" ht="12.75" x14ac:dyDescent="0.2">
      <c r="D195" s="40"/>
      <c r="E195" s="40"/>
      <c r="F195" s="40"/>
      <c r="G195" s="40"/>
      <c r="H195" s="40"/>
      <c r="I195" s="40"/>
      <c r="J195" s="39" t="s">
        <v>264</v>
      </c>
      <c r="K195" s="40"/>
      <c r="L195" s="40"/>
      <c r="M195" s="40"/>
      <c r="N195" s="40"/>
      <c r="O195" s="40"/>
      <c r="P195" s="40"/>
      <c r="Q195" s="40"/>
      <c r="R195" s="40"/>
      <c r="S195" s="40"/>
      <c r="T195" s="39" t="s">
        <v>265</v>
      </c>
      <c r="U195" s="40"/>
      <c r="V195" s="40"/>
      <c r="W195" s="40"/>
      <c r="X195" s="40"/>
      <c r="Y195" s="40"/>
      <c r="Z195" s="40"/>
      <c r="AA195" s="40"/>
      <c r="AB195" s="40"/>
      <c r="AC195" s="40"/>
      <c r="AD195" s="39" t="s">
        <v>265</v>
      </c>
      <c r="AE195" s="40"/>
      <c r="AF195" s="40"/>
      <c r="AG195" s="40"/>
      <c r="AH195" s="40"/>
      <c r="AI195" s="40"/>
      <c r="AJ195" s="40"/>
    </row>
    <row r="196" spans="3:36" ht="12.75" x14ac:dyDescent="0.2">
      <c r="E196" s="39">
        <v>2</v>
      </c>
      <c r="F196" s="40"/>
      <c r="G196" s="40"/>
      <c r="H196" s="40"/>
      <c r="I196" s="40"/>
      <c r="J196" s="39" t="s">
        <v>263</v>
      </c>
      <c r="K196" s="40"/>
      <c r="L196" s="40"/>
      <c r="M196" s="40"/>
      <c r="N196" s="40"/>
      <c r="O196" s="40"/>
      <c r="P196" s="40"/>
      <c r="Q196" s="40"/>
      <c r="R196" s="40"/>
      <c r="S196" s="40"/>
      <c r="T196" s="39">
        <v>205</v>
      </c>
      <c r="U196" s="40"/>
      <c r="V196" s="40"/>
      <c r="W196" s="40"/>
      <c r="X196" s="40"/>
      <c r="Y196" s="40"/>
      <c r="Z196" s="40"/>
      <c r="AA196" s="40"/>
      <c r="AB196" s="40"/>
      <c r="AC196" s="40"/>
      <c r="AD196" s="39">
        <v>80</v>
      </c>
      <c r="AE196" s="40"/>
      <c r="AF196" s="40"/>
      <c r="AG196" s="40"/>
      <c r="AH196" s="40"/>
      <c r="AI196" s="40"/>
      <c r="AJ196" s="40"/>
    </row>
    <row r="197" spans="3:36" ht="12.75" x14ac:dyDescent="0.2">
      <c r="D197" s="40"/>
      <c r="E197" s="40"/>
      <c r="F197" s="40"/>
      <c r="G197" s="40"/>
      <c r="H197" s="40"/>
      <c r="I197" s="40"/>
      <c r="J197" s="39" t="s">
        <v>264</v>
      </c>
      <c r="K197" s="40"/>
      <c r="L197" s="40"/>
      <c r="M197" s="40"/>
      <c r="N197" s="40"/>
      <c r="O197" s="40"/>
      <c r="P197" s="40"/>
      <c r="Q197" s="40"/>
      <c r="R197" s="40"/>
      <c r="S197" s="40"/>
      <c r="T197" s="39">
        <v>175</v>
      </c>
      <c r="U197" s="40"/>
      <c r="V197" s="40"/>
      <c r="W197" s="40"/>
      <c r="X197" s="40"/>
      <c r="Y197" s="40"/>
      <c r="Z197" s="40"/>
      <c r="AA197" s="40"/>
      <c r="AB197" s="40"/>
      <c r="AC197" s="40"/>
      <c r="AD197" s="39">
        <v>61</v>
      </c>
      <c r="AE197" s="40"/>
      <c r="AF197" s="40"/>
      <c r="AG197" s="40"/>
      <c r="AH197" s="40"/>
      <c r="AI197" s="40"/>
      <c r="AJ197" s="40"/>
    </row>
    <row r="198" spans="3:36" ht="12.75" x14ac:dyDescent="0.2">
      <c r="E198" s="39">
        <v>3</v>
      </c>
      <c r="F198" s="40"/>
      <c r="G198" s="40"/>
      <c r="H198" s="40"/>
      <c r="I198" s="40"/>
      <c r="J198" s="39" t="s">
        <v>263</v>
      </c>
      <c r="K198" s="40"/>
      <c r="L198" s="40"/>
      <c r="M198" s="40"/>
      <c r="N198" s="40"/>
      <c r="O198" s="40"/>
      <c r="P198" s="40"/>
      <c r="Q198" s="40"/>
      <c r="R198" s="40"/>
      <c r="S198" s="40"/>
      <c r="T198" s="39">
        <v>200</v>
      </c>
      <c r="U198" s="40"/>
      <c r="V198" s="40"/>
      <c r="W198" s="40"/>
      <c r="X198" s="40"/>
      <c r="Y198" s="40"/>
      <c r="Z198" s="40"/>
      <c r="AA198" s="40"/>
      <c r="AB198" s="40"/>
      <c r="AC198" s="40"/>
      <c r="AD198" s="39">
        <v>80</v>
      </c>
      <c r="AE198" s="40"/>
      <c r="AF198" s="40"/>
      <c r="AG198" s="40"/>
      <c r="AH198" s="40"/>
      <c r="AI198" s="40"/>
      <c r="AJ198" s="40"/>
    </row>
    <row r="199" spans="3:36" ht="12.75" x14ac:dyDescent="0.2">
      <c r="D199" s="40"/>
      <c r="E199" s="40"/>
      <c r="F199" s="40"/>
      <c r="G199" s="40"/>
      <c r="H199" s="40"/>
      <c r="I199" s="40"/>
      <c r="J199" s="39" t="s">
        <v>264</v>
      </c>
      <c r="K199" s="40"/>
      <c r="L199" s="40"/>
      <c r="M199" s="40"/>
      <c r="N199" s="40"/>
      <c r="O199" s="40"/>
      <c r="P199" s="40"/>
      <c r="Q199" s="40"/>
      <c r="R199" s="40"/>
      <c r="S199" s="40"/>
      <c r="T199" s="39">
        <v>170</v>
      </c>
      <c r="U199" s="40"/>
      <c r="V199" s="40"/>
      <c r="W199" s="40"/>
      <c r="X199" s="40"/>
      <c r="Y199" s="40"/>
      <c r="Z199" s="40"/>
      <c r="AA199" s="40"/>
      <c r="AB199" s="40"/>
      <c r="AC199" s="40"/>
      <c r="AD199" s="39">
        <v>30</v>
      </c>
      <c r="AE199" s="40"/>
      <c r="AF199" s="40"/>
      <c r="AG199" s="40"/>
      <c r="AH199" s="40"/>
      <c r="AI199" s="40"/>
      <c r="AJ199" s="40"/>
    </row>
    <row r="200" spans="3:36" ht="12.75" x14ac:dyDescent="0.2">
      <c r="E200" s="39">
        <v>4</v>
      </c>
      <c r="F200" s="40"/>
      <c r="G200" s="40"/>
      <c r="H200" s="40"/>
      <c r="I200" s="40"/>
      <c r="J200" s="39" t="s">
        <v>263</v>
      </c>
      <c r="K200" s="40"/>
      <c r="L200" s="40"/>
      <c r="M200" s="40"/>
      <c r="N200" s="40"/>
      <c r="O200" s="40"/>
      <c r="P200" s="40"/>
      <c r="Q200" s="40"/>
      <c r="R200" s="40"/>
      <c r="S200" s="40"/>
      <c r="T200" s="39">
        <v>210</v>
      </c>
      <c r="U200" s="40"/>
      <c r="V200" s="40"/>
      <c r="W200" s="40"/>
      <c r="X200" s="40"/>
      <c r="Y200" s="40"/>
      <c r="Z200" s="40"/>
      <c r="AA200" s="40"/>
      <c r="AB200" s="40"/>
      <c r="AC200" s="40"/>
      <c r="AD200" s="39">
        <v>80</v>
      </c>
      <c r="AE200" s="40"/>
      <c r="AF200" s="40"/>
      <c r="AG200" s="40"/>
      <c r="AH200" s="40"/>
      <c r="AI200" s="40"/>
      <c r="AJ200" s="40"/>
    </row>
    <row r="201" spans="3:36" ht="12.75" x14ac:dyDescent="0.2">
      <c r="D201" s="40"/>
      <c r="E201" s="40"/>
      <c r="F201" s="40"/>
      <c r="G201" s="40"/>
      <c r="H201" s="40"/>
      <c r="I201" s="40"/>
      <c r="J201" s="39" t="s">
        <v>264</v>
      </c>
      <c r="K201" s="40"/>
      <c r="L201" s="40"/>
      <c r="M201" s="40"/>
      <c r="N201" s="40"/>
      <c r="O201" s="40"/>
      <c r="P201" s="40"/>
      <c r="Q201" s="40"/>
      <c r="R201" s="40"/>
      <c r="S201" s="40"/>
      <c r="T201" s="39">
        <v>280</v>
      </c>
      <c r="U201" s="40"/>
      <c r="V201" s="40"/>
      <c r="W201" s="40"/>
      <c r="X201" s="40"/>
      <c r="Y201" s="40"/>
      <c r="Z201" s="40"/>
      <c r="AA201" s="40"/>
      <c r="AB201" s="40"/>
      <c r="AC201" s="40"/>
      <c r="AD201" s="39">
        <v>90</v>
      </c>
      <c r="AE201" s="40"/>
      <c r="AF201" s="40"/>
      <c r="AG201" s="40"/>
      <c r="AH201" s="40"/>
      <c r="AI201" s="40"/>
      <c r="AJ201" s="40"/>
    </row>
    <row r="202" spans="3:36" ht="12.75" x14ac:dyDescent="0.2">
      <c r="E202" s="39">
        <v>5</v>
      </c>
      <c r="F202" s="40"/>
      <c r="G202" s="40"/>
      <c r="H202" s="40"/>
      <c r="I202" s="40"/>
      <c r="J202" s="39" t="s">
        <v>263</v>
      </c>
      <c r="K202" s="40"/>
      <c r="L202" s="40"/>
      <c r="M202" s="40"/>
      <c r="N202" s="40"/>
      <c r="O202" s="40"/>
      <c r="P202" s="40"/>
      <c r="Q202" s="40"/>
      <c r="R202" s="40"/>
      <c r="S202" s="40"/>
      <c r="T202" s="39">
        <v>225</v>
      </c>
      <c r="U202" s="40"/>
      <c r="V202" s="40"/>
      <c r="W202" s="40"/>
      <c r="X202" s="40"/>
      <c r="Y202" s="40"/>
      <c r="Z202" s="40"/>
      <c r="AA202" s="40"/>
      <c r="AB202" s="40"/>
      <c r="AC202" s="40"/>
      <c r="AD202" s="39">
        <v>80</v>
      </c>
      <c r="AE202" s="40"/>
      <c r="AF202" s="40"/>
      <c r="AG202" s="40"/>
      <c r="AH202" s="40"/>
      <c r="AI202" s="40"/>
      <c r="AJ202" s="40"/>
    </row>
    <row r="203" spans="3:36" ht="12.75" x14ac:dyDescent="0.2">
      <c r="D203" s="40"/>
      <c r="E203" s="40"/>
      <c r="F203" s="40"/>
      <c r="G203" s="40"/>
      <c r="H203" s="40"/>
      <c r="I203" s="40"/>
      <c r="J203" s="39" t="s">
        <v>264</v>
      </c>
      <c r="K203" s="40"/>
      <c r="L203" s="40"/>
      <c r="M203" s="40"/>
      <c r="N203" s="40"/>
      <c r="O203" s="40"/>
      <c r="P203" s="40"/>
      <c r="Q203" s="40"/>
      <c r="R203" s="40"/>
      <c r="S203" s="40"/>
      <c r="T203" s="39">
        <v>150</v>
      </c>
      <c r="U203" s="40"/>
      <c r="V203" s="40"/>
      <c r="W203" s="40"/>
      <c r="X203" s="40"/>
      <c r="Y203" s="40"/>
      <c r="Z203" s="40"/>
      <c r="AA203" s="40"/>
      <c r="AB203" s="40"/>
      <c r="AC203" s="40"/>
      <c r="AD203" s="39">
        <v>30</v>
      </c>
      <c r="AE203" s="40"/>
      <c r="AF203" s="40"/>
      <c r="AG203" s="40"/>
      <c r="AH203" s="40"/>
      <c r="AI203" s="40"/>
      <c r="AJ203" s="40"/>
    </row>
    <row r="204" spans="3:36" ht="12.75" x14ac:dyDescent="0.2">
      <c r="E204" s="39">
        <v>6</v>
      </c>
      <c r="F204" s="40"/>
      <c r="G204" s="40"/>
      <c r="H204" s="40"/>
      <c r="I204" s="40"/>
      <c r="J204" s="39" t="s">
        <v>263</v>
      </c>
      <c r="K204" s="40"/>
      <c r="L204" s="40"/>
      <c r="M204" s="40"/>
      <c r="N204" s="40"/>
      <c r="O204" s="40"/>
      <c r="P204" s="40"/>
      <c r="Q204" s="40"/>
      <c r="R204" s="40"/>
      <c r="S204" s="40"/>
      <c r="T204" s="39">
        <v>210</v>
      </c>
      <c r="U204" s="40"/>
      <c r="V204" s="40"/>
      <c r="W204" s="40"/>
      <c r="X204" s="40"/>
      <c r="Y204" s="40"/>
      <c r="Z204" s="40"/>
      <c r="AA204" s="40"/>
      <c r="AB204" s="40"/>
      <c r="AC204" s="40"/>
      <c r="AD204" s="39">
        <v>80</v>
      </c>
      <c r="AE204" s="40"/>
      <c r="AF204" s="40"/>
      <c r="AG204" s="40"/>
      <c r="AH204" s="40"/>
      <c r="AI204" s="40"/>
      <c r="AJ204" s="40"/>
    </row>
    <row r="205" spans="3:36" ht="12.75" x14ac:dyDescent="0.2">
      <c r="D205" s="40"/>
      <c r="E205" s="40"/>
      <c r="F205" s="40"/>
      <c r="G205" s="40"/>
      <c r="H205" s="40"/>
      <c r="I205" s="40"/>
      <c r="J205" s="39" t="s">
        <v>264</v>
      </c>
      <c r="K205" s="40"/>
      <c r="L205" s="40"/>
      <c r="M205" s="40"/>
      <c r="N205" s="40"/>
      <c r="O205" s="40"/>
      <c r="P205" s="40"/>
      <c r="Q205" s="40"/>
      <c r="R205" s="40"/>
      <c r="S205" s="40"/>
      <c r="T205" s="39">
        <v>160</v>
      </c>
      <c r="U205" s="40"/>
      <c r="V205" s="40"/>
      <c r="W205" s="40"/>
      <c r="X205" s="40"/>
      <c r="Y205" s="40"/>
      <c r="Z205" s="40"/>
      <c r="AA205" s="40"/>
      <c r="AB205" s="40"/>
      <c r="AC205" s="40"/>
      <c r="AD205" s="39">
        <v>20</v>
      </c>
      <c r="AE205" s="40"/>
      <c r="AF205" s="40"/>
      <c r="AG205" s="40"/>
      <c r="AH205" s="40"/>
      <c r="AI205" s="40"/>
      <c r="AJ205" s="40"/>
    </row>
    <row r="206" spans="3:36" ht="12.75" x14ac:dyDescent="0.2">
      <c r="E206" s="39">
        <v>7</v>
      </c>
      <c r="F206" s="40"/>
      <c r="G206" s="40"/>
      <c r="H206" s="40"/>
      <c r="I206" s="40"/>
      <c r="J206" s="39" t="s">
        <v>263</v>
      </c>
      <c r="K206" s="40"/>
      <c r="L206" s="40"/>
      <c r="M206" s="40"/>
      <c r="N206" s="40"/>
      <c r="O206" s="40"/>
      <c r="P206" s="40"/>
      <c r="Q206" s="40"/>
      <c r="R206" s="40"/>
      <c r="S206" s="40"/>
      <c r="T206" s="39">
        <v>200</v>
      </c>
      <c r="U206" s="40"/>
      <c r="V206" s="40"/>
      <c r="W206" s="40"/>
      <c r="X206" s="40"/>
      <c r="Y206" s="40"/>
      <c r="Z206" s="40"/>
      <c r="AA206" s="40"/>
      <c r="AB206" s="40"/>
      <c r="AC206" s="40"/>
      <c r="AD206" s="39">
        <v>80</v>
      </c>
      <c r="AE206" s="40"/>
      <c r="AF206" s="40"/>
      <c r="AG206" s="40"/>
      <c r="AH206" s="40"/>
      <c r="AI206" s="40"/>
      <c r="AJ206" s="40"/>
    </row>
    <row r="207" spans="3:36" ht="12.75" x14ac:dyDescent="0.2">
      <c r="D207" s="40"/>
      <c r="E207" s="40"/>
      <c r="F207" s="40"/>
      <c r="G207" s="40"/>
      <c r="H207" s="40"/>
      <c r="I207" s="40"/>
      <c r="J207" s="39" t="s">
        <v>264</v>
      </c>
      <c r="K207" s="40"/>
      <c r="L207" s="40"/>
      <c r="M207" s="40"/>
      <c r="N207" s="40"/>
      <c r="O207" s="40"/>
      <c r="P207" s="40"/>
      <c r="Q207" s="40"/>
      <c r="R207" s="40"/>
      <c r="S207" s="40"/>
      <c r="T207" s="39" t="s">
        <v>265</v>
      </c>
      <c r="U207" s="40"/>
      <c r="V207" s="40"/>
      <c r="W207" s="40"/>
      <c r="X207" s="40"/>
      <c r="Y207" s="40"/>
      <c r="Z207" s="40"/>
      <c r="AA207" s="40"/>
      <c r="AB207" s="40"/>
      <c r="AC207" s="40"/>
      <c r="AD207" s="39" t="s">
        <v>265</v>
      </c>
      <c r="AE207" s="40"/>
      <c r="AF207" s="40"/>
      <c r="AG207" s="40"/>
      <c r="AH207" s="40"/>
      <c r="AI207" s="40"/>
      <c r="AJ207" s="40"/>
    </row>
    <row r="208" spans="3:36" ht="12.75" x14ac:dyDescent="0.2">
      <c r="C208" s="22">
        <v>2</v>
      </c>
      <c r="D208" s="41" t="s">
        <v>261</v>
      </c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1" t="s">
        <v>6</v>
      </c>
      <c r="Y208" s="40"/>
      <c r="Z208" s="40"/>
      <c r="AA208" s="40"/>
      <c r="AB208" s="40"/>
      <c r="AC208" s="40"/>
      <c r="AD208" s="41" t="s">
        <v>262</v>
      </c>
      <c r="AE208" s="40"/>
      <c r="AF208" s="40"/>
      <c r="AG208" s="40"/>
      <c r="AH208" s="40"/>
    </row>
    <row r="210" spans="3:36" ht="12.75" x14ac:dyDescent="0.2">
      <c r="E210" s="39">
        <v>1</v>
      </c>
      <c r="F210" s="40"/>
      <c r="G210" s="40"/>
      <c r="H210" s="40"/>
      <c r="I210" s="40"/>
      <c r="J210" s="39" t="s">
        <v>263</v>
      </c>
      <c r="K210" s="40"/>
      <c r="L210" s="40"/>
      <c r="M210" s="40"/>
      <c r="N210" s="40"/>
      <c r="O210" s="40"/>
      <c r="P210" s="40"/>
      <c r="Q210" s="40"/>
      <c r="R210" s="40"/>
      <c r="S210" s="40"/>
      <c r="T210" s="39">
        <v>215</v>
      </c>
      <c r="U210" s="40"/>
      <c r="V210" s="40"/>
      <c r="W210" s="40"/>
      <c r="X210" s="40"/>
      <c r="Y210" s="40"/>
      <c r="Z210" s="40"/>
      <c r="AA210" s="40"/>
      <c r="AB210" s="40"/>
      <c r="AC210" s="40"/>
      <c r="AD210" s="39">
        <v>80</v>
      </c>
      <c r="AE210" s="40"/>
      <c r="AF210" s="40"/>
      <c r="AG210" s="40"/>
      <c r="AH210" s="40"/>
      <c r="AI210" s="40"/>
      <c r="AJ210" s="40"/>
    </row>
    <row r="211" spans="3:36" ht="12.75" x14ac:dyDescent="0.2">
      <c r="D211" s="40"/>
      <c r="E211" s="40"/>
      <c r="F211" s="40"/>
      <c r="G211" s="40"/>
      <c r="H211" s="40"/>
      <c r="I211" s="40"/>
      <c r="J211" s="39" t="s">
        <v>264</v>
      </c>
      <c r="K211" s="40"/>
      <c r="L211" s="40"/>
      <c r="M211" s="40"/>
      <c r="N211" s="40"/>
      <c r="O211" s="40"/>
      <c r="P211" s="40"/>
      <c r="Q211" s="40"/>
      <c r="R211" s="40"/>
      <c r="S211" s="40"/>
      <c r="T211" s="39">
        <v>170</v>
      </c>
      <c r="U211" s="40"/>
      <c r="V211" s="40"/>
      <c r="W211" s="40"/>
      <c r="X211" s="40"/>
      <c r="Y211" s="40"/>
      <c r="Z211" s="40"/>
      <c r="AA211" s="40"/>
      <c r="AB211" s="40"/>
      <c r="AC211" s="40"/>
      <c r="AD211" s="39">
        <v>19</v>
      </c>
      <c r="AE211" s="40"/>
      <c r="AF211" s="40"/>
      <c r="AG211" s="40"/>
      <c r="AH211" s="40"/>
      <c r="AI211" s="40"/>
      <c r="AJ211" s="40"/>
    </row>
    <row r="212" spans="3:36" ht="12.75" x14ac:dyDescent="0.2">
      <c r="E212" s="39">
        <v>2</v>
      </c>
      <c r="F212" s="40"/>
      <c r="G212" s="40"/>
      <c r="H212" s="40"/>
      <c r="I212" s="40"/>
      <c r="J212" s="39" t="s">
        <v>263</v>
      </c>
      <c r="K212" s="40"/>
      <c r="L212" s="40"/>
      <c r="M212" s="40"/>
      <c r="N212" s="40"/>
      <c r="O212" s="40"/>
      <c r="P212" s="40"/>
      <c r="Q212" s="40"/>
      <c r="R212" s="40"/>
      <c r="S212" s="40"/>
      <c r="T212" s="39">
        <v>220</v>
      </c>
      <c r="U212" s="40"/>
      <c r="V212" s="40"/>
      <c r="W212" s="40"/>
      <c r="X212" s="40"/>
      <c r="Y212" s="40"/>
      <c r="Z212" s="40"/>
      <c r="AA212" s="40"/>
      <c r="AB212" s="40"/>
      <c r="AC212" s="40"/>
      <c r="AD212" s="39">
        <v>80</v>
      </c>
      <c r="AE212" s="40"/>
      <c r="AF212" s="40"/>
      <c r="AG212" s="40"/>
      <c r="AH212" s="40"/>
      <c r="AI212" s="40"/>
      <c r="AJ212" s="40"/>
    </row>
    <row r="213" spans="3:36" ht="12.75" x14ac:dyDescent="0.2">
      <c r="D213" s="40"/>
      <c r="E213" s="40"/>
      <c r="F213" s="40"/>
      <c r="G213" s="40"/>
      <c r="H213" s="40"/>
      <c r="I213" s="40"/>
      <c r="J213" s="39" t="s">
        <v>264</v>
      </c>
      <c r="K213" s="40"/>
      <c r="L213" s="40"/>
      <c r="M213" s="40"/>
      <c r="N213" s="40"/>
      <c r="O213" s="40"/>
      <c r="P213" s="40"/>
      <c r="Q213" s="40"/>
      <c r="R213" s="40"/>
      <c r="S213" s="40"/>
      <c r="T213" s="39">
        <v>195</v>
      </c>
      <c r="U213" s="40"/>
      <c r="V213" s="40"/>
      <c r="W213" s="40"/>
      <c r="X213" s="40"/>
      <c r="Y213" s="40"/>
      <c r="Z213" s="40"/>
      <c r="AA213" s="40"/>
      <c r="AB213" s="40"/>
      <c r="AC213" s="40"/>
      <c r="AD213" s="39">
        <v>61</v>
      </c>
      <c r="AE213" s="40"/>
      <c r="AF213" s="40"/>
      <c r="AG213" s="40"/>
      <c r="AH213" s="40"/>
      <c r="AI213" s="40"/>
      <c r="AJ213" s="40"/>
    </row>
    <row r="214" spans="3:36" ht="12.75" x14ac:dyDescent="0.2">
      <c r="E214" s="39">
        <v>3</v>
      </c>
      <c r="F214" s="40"/>
      <c r="G214" s="40"/>
      <c r="H214" s="40"/>
      <c r="I214" s="40"/>
      <c r="J214" s="39" t="s">
        <v>263</v>
      </c>
      <c r="K214" s="40"/>
      <c r="L214" s="40"/>
      <c r="M214" s="40"/>
      <c r="N214" s="40"/>
      <c r="O214" s="40"/>
      <c r="P214" s="40"/>
      <c r="Q214" s="40"/>
      <c r="R214" s="40"/>
      <c r="S214" s="40"/>
      <c r="T214" s="39">
        <v>200</v>
      </c>
      <c r="U214" s="40"/>
      <c r="V214" s="40"/>
      <c r="W214" s="40"/>
      <c r="X214" s="40"/>
      <c r="Y214" s="40"/>
      <c r="Z214" s="40"/>
      <c r="AA214" s="40"/>
      <c r="AB214" s="40"/>
      <c r="AC214" s="40"/>
      <c r="AD214" s="39">
        <v>80</v>
      </c>
      <c r="AE214" s="40"/>
      <c r="AF214" s="40"/>
      <c r="AG214" s="40"/>
      <c r="AH214" s="40"/>
      <c r="AI214" s="40"/>
      <c r="AJ214" s="40"/>
    </row>
    <row r="215" spans="3:36" ht="12.75" x14ac:dyDescent="0.2">
      <c r="D215" s="40"/>
      <c r="E215" s="40"/>
      <c r="F215" s="40"/>
      <c r="G215" s="40"/>
      <c r="H215" s="40"/>
      <c r="I215" s="40"/>
      <c r="J215" s="39" t="s">
        <v>264</v>
      </c>
      <c r="K215" s="40"/>
      <c r="L215" s="40"/>
      <c r="M215" s="40"/>
      <c r="N215" s="40"/>
      <c r="O215" s="40"/>
      <c r="P215" s="40"/>
      <c r="Q215" s="40"/>
      <c r="R215" s="40"/>
      <c r="S215" s="40"/>
      <c r="T215" s="39">
        <v>170</v>
      </c>
      <c r="U215" s="40"/>
      <c r="V215" s="40"/>
      <c r="W215" s="40"/>
      <c r="X215" s="40"/>
      <c r="Y215" s="40"/>
      <c r="Z215" s="40"/>
      <c r="AA215" s="40"/>
      <c r="AB215" s="40"/>
      <c r="AC215" s="40"/>
      <c r="AD215" s="39">
        <v>30</v>
      </c>
      <c r="AE215" s="40"/>
      <c r="AF215" s="40"/>
      <c r="AG215" s="40"/>
      <c r="AH215" s="40"/>
      <c r="AI215" s="40"/>
      <c r="AJ215" s="40"/>
    </row>
    <row r="216" spans="3:36" ht="12.75" x14ac:dyDescent="0.2">
      <c r="E216" s="39">
        <v>4</v>
      </c>
      <c r="F216" s="40"/>
      <c r="G216" s="40"/>
      <c r="H216" s="40"/>
      <c r="I216" s="40"/>
      <c r="J216" s="39" t="s">
        <v>263</v>
      </c>
      <c r="K216" s="40"/>
      <c r="L216" s="40"/>
      <c r="M216" s="40"/>
      <c r="N216" s="40"/>
      <c r="O216" s="40"/>
      <c r="P216" s="40"/>
      <c r="Q216" s="40"/>
      <c r="R216" s="40"/>
      <c r="S216" s="40"/>
      <c r="T216" s="39">
        <v>240</v>
      </c>
      <c r="U216" s="40"/>
      <c r="V216" s="40"/>
      <c r="W216" s="40"/>
      <c r="X216" s="40"/>
      <c r="Y216" s="40"/>
      <c r="Z216" s="40"/>
      <c r="AA216" s="40"/>
      <c r="AB216" s="40"/>
      <c r="AC216" s="40"/>
      <c r="AD216" s="39">
        <v>80</v>
      </c>
      <c r="AE216" s="40"/>
      <c r="AF216" s="40"/>
      <c r="AG216" s="40"/>
      <c r="AH216" s="40"/>
      <c r="AI216" s="40"/>
      <c r="AJ216" s="40"/>
    </row>
    <row r="217" spans="3:36" ht="12.75" x14ac:dyDescent="0.2">
      <c r="D217" s="40"/>
      <c r="E217" s="40"/>
      <c r="F217" s="40"/>
      <c r="G217" s="40"/>
      <c r="H217" s="40"/>
      <c r="I217" s="40"/>
      <c r="J217" s="39" t="s">
        <v>264</v>
      </c>
      <c r="K217" s="40"/>
      <c r="L217" s="40"/>
      <c r="M217" s="40"/>
      <c r="N217" s="40"/>
      <c r="O217" s="40"/>
      <c r="P217" s="40"/>
      <c r="Q217" s="40"/>
      <c r="R217" s="40"/>
      <c r="S217" s="40"/>
      <c r="T217" s="39">
        <v>275</v>
      </c>
      <c r="U217" s="40"/>
      <c r="V217" s="40"/>
      <c r="W217" s="40"/>
      <c r="X217" s="40"/>
      <c r="Y217" s="40"/>
      <c r="Z217" s="40"/>
      <c r="AA217" s="40"/>
      <c r="AB217" s="40"/>
      <c r="AC217" s="40"/>
      <c r="AD217" s="39">
        <v>90</v>
      </c>
      <c r="AE217" s="40"/>
      <c r="AF217" s="40"/>
      <c r="AG217" s="40"/>
      <c r="AH217" s="40"/>
      <c r="AI217" s="40"/>
      <c r="AJ217" s="40"/>
    </row>
    <row r="218" spans="3:36" ht="12.75" x14ac:dyDescent="0.2">
      <c r="E218" s="39">
        <v>5</v>
      </c>
      <c r="F218" s="40"/>
      <c r="G218" s="40"/>
      <c r="H218" s="40"/>
      <c r="I218" s="40"/>
      <c r="J218" s="39" t="s">
        <v>263</v>
      </c>
      <c r="K218" s="40"/>
      <c r="L218" s="40"/>
      <c r="M218" s="40"/>
      <c r="N218" s="40"/>
      <c r="O218" s="40"/>
      <c r="P218" s="40"/>
      <c r="Q218" s="40"/>
      <c r="R218" s="40"/>
      <c r="S218" s="40"/>
      <c r="T218" s="39">
        <v>198</v>
      </c>
      <c r="U218" s="40"/>
      <c r="V218" s="40"/>
      <c r="W218" s="40"/>
      <c r="X218" s="40"/>
      <c r="Y218" s="40"/>
      <c r="Z218" s="40"/>
      <c r="AA218" s="40"/>
      <c r="AB218" s="40"/>
      <c r="AC218" s="40"/>
      <c r="AD218" s="39">
        <v>80</v>
      </c>
      <c r="AE218" s="40"/>
      <c r="AF218" s="40"/>
      <c r="AG218" s="40"/>
      <c r="AH218" s="40"/>
      <c r="AI218" s="40"/>
      <c r="AJ218" s="40"/>
    </row>
    <row r="219" spans="3:36" ht="12.75" x14ac:dyDescent="0.2">
      <c r="D219" s="40"/>
      <c r="E219" s="40"/>
      <c r="F219" s="40"/>
      <c r="G219" s="40"/>
      <c r="H219" s="40"/>
      <c r="I219" s="40"/>
      <c r="J219" s="39" t="s">
        <v>264</v>
      </c>
      <c r="K219" s="40"/>
      <c r="L219" s="40"/>
      <c r="M219" s="40"/>
      <c r="N219" s="40"/>
      <c r="O219" s="40"/>
      <c r="P219" s="40"/>
      <c r="Q219" s="40"/>
      <c r="R219" s="40"/>
      <c r="S219" s="40"/>
      <c r="T219" s="39">
        <v>159</v>
      </c>
      <c r="U219" s="40"/>
      <c r="V219" s="40"/>
      <c r="W219" s="40"/>
      <c r="X219" s="40"/>
      <c r="Y219" s="40"/>
      <c r="Z219" s="40"/>
      <c r="AA219" s="40"/>
      <c r="AB219" s="40"/>
      <c r="AC219" s="40"/>
      <c r="AD219" s="39">
        <v>30</v>
      </c>
      <c r="AE219" s="40"/>
      <c r="AF219" s="40"/>
      <c r="AG219" s="40"/>
      <c r="AH219" s="40"/>
      <c r="AI219" s="40"/>
      <c r="AJ219" s="40"/>
    </row>
    <row r="220" spans="3:36" ht="12.75" x14ac:dyDescent="0.2">
      <c r="E220" s="39">
        <v>6</v>
      </c>
      <c r="F220" s="40"/>
      <c r="G220" s="40"/>
      <c r="H220" s="40"/>
      <c r="I220" s="40"/>
      <c r="J220" s="39" t="s">
        <v>263</v>
      </c>
      <c r="K220" s="40"/>
      <c r="L220" s="40"/>
      <c r="M220" s="40"/>
      <c r="N220" s="40"/>
      <c r="O220" s="40"/>
      <c r="P220" s="40"/>
      <c r="Q220" s="40"/>
      <c r="R220" s="40"/>
      <c r="S220" s="40"/>
      <c r="T220" s="39">
        <v>205</v>
      </c>
      <c r="U220" s="40"/>
      <c r="V220" s="40"/>
      <c r="W220" s="40"/>
      <c r="X220" s="40"/>
      <c r="Y220" s="40"/>
      <c r="Z220" s="40"/>
      <c r="AA220" s="40"/>
      <c r="AB220" s="40"/>
      <c r="AC220" s="40"/>
      <c r="AD220" s="39">
        <v>80</v>
      </c>
      <c r="AE220" s="40"/>
      <c r="AF220" s="40"/>
      <c r="AG220" s="40"/>
      <c r="AH220" s="40"/>
      <c r="AI220" s="40"/>
      <c r="AJ220" s="40"/>
    </row>
    <row r="221" spans="3:36" ht="12.75" x14ac:dyDescent="0.2">
      <c r="D221" s="40"/>
      <c r="E221" s="40"/>
      <c r="F221" s="40"/>
      <c r="G221" s="40"/>
      <c r="H221" s="40"/>
      <c r="I221" s="40"/>
      <c r="J221" s="39" t="s">
        <v>264</v>
      </c>
      <c r="K221" s="40"/>
      <c r="L221" s="40"/>
      <c r="M221" s="40"/>
      <c r="N221" s="40"/>
      <c r="O221" s="40"/>
      <c r="P221" s="40"/>
      <c r="Q221" s="40"/>
      <c r="R221" s="40"/>
      <c r="S221" s="40"/>
      <c r="T221" s="39">
        <v>150</v>
      </c>
      <c r="U221" s="40"/>
      <c r="V221" s="40"/>
      <c r="W221" s="40"/>
      <c r="X221" s="40"/>
      <c r="Y221" s="40"/>
      <c r="Z221" s="40"/>
      <c r="AA221" s="40"/>
      <c r="AB221" s="40"/>
      <c r="AC221" s="40"/>
      <c r="AD221" s="39">
        <v>20</v>
      </c>
      <c r="AE221" s="40"/>
      <c r="AF221" s="40"/>
      <c r="AG221" s="40"/>
      <c r="AH221" s="40"/>
      <c r="AI221" s="40"/>
      <c r="AJ221" s="40"/>
    </row>
    <row r="222" spans="3:36" ht="12.75" x14ac:dyDescent="0.2">
      <c r="E222" s="39">
        <v>7</v>
      </c>
      <c r="F222" s="40"/>
      <c r="G222" s="40"/>
      <c r="H222" s="40"/>
      <c r="I222" s="40"/>
      <c r="J222" s="39" t="s">
        <v>263</v>
      </c>
      <c r="K222" s="40"/>
      <c r="L222" s="40"/>
      <c r="M222" s="40"/>
      <c r="N222" s="40"/>
      <c r="O222" s="40"/>
      <c r="P222" s="40"/>
      <c r="Q222" s="40"/>
      <c r="R222" s="40"/>
      <c r="S222" s="40"/>
      <c r="T222" s="39">
        <v>200</v>
      </c>
      <c r="U222" s="40"/>
      <c r="V222" s="40"/>
      <c r="W222" s="40"/>
      <c r="X222" s="40"/>
      <c r="Y222" s="40"/>
      <c r="Z222" s="40"/>
      <c r="AA222" s="40"/>
      <c r="AB222" s="40"/>
      <c r="AC222" s="40"/>
      <c r="AD222" s="39">
        <v>80</v>
      </c>
      <c r="AE222" s="40"/>
      <c r="AF222" s="40"/>
      <c r="AG222" s="40"/>
      <c r="AH222" s="40"/>
      <c r="AI222" s="40"/>
      <c r="AJ222" s="40"/>
    </row>
    <row r="223" spans="3:36" ht="12.75" x14ac:dyDescent="0.2">
      <c r="D223" s="40"/>
      <c r="E223" s="40"/>
      <c r="F223" s="40"/>
      <c r="G223" s="40"/>
      <c r="H223" s="40"/>
      <c r="I223" s="40"/>
      <c r="J223" s="39" t="s">
        <v>264</v>
      </c>
      <c r="K223" s="40"/>
      <c r="L223" s="40"/>
      <c r="M223" s="40"/>
      <c r="N223" s="40"/>
      <c r="O223" s="40"/>
      <c r="P223" s="40"/>
      <c r="Q223" s="40"/>
      <c r="R223" s="40"/>
      <c r="S223" s="40"/>
      <c r="T223" s="39">
        <v>137</v>
      </c>
      <c r="U223" s="40"/>
      <c r="V223" s="40"/>
      <c r="W223" s="40"/>
      <c r="X223" s="40"/>
      <c r="Y223" s="40"/>
      <c r="Z223" s="40"/>
      <c r="AA223" s="40"/>
      <c r="AB223" s="40"/>
      <c r="AC223" s="40"/>
      <c r="AD223" s="39">
        <v>10</v>
      </c>
      <c r="AE223" s="40"/>
      <c r="AF223" s="40"/>
      <c r="AG223" s="40"/>
      <c r="AH223" s="40"/>
      <c r="AI223" s="40"/>
      <c r="AJ223" s="40"/>
    </row>
    <row r="224" spans="3:36" ht="12.75" x14ac:dyDescent="0.2">
      <c r="C224" s="22">
        <v>3</v>
      </c>
      <c r="D224" s="41" t="s">
        <v>261</v>
      </c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1" t="s">
        <v>6</v>
      </c>
      <c r="Y224" s="40"/>
      <c r="Z224" s="40"/>
      <c r="AA224" s="40"/>
      <c r="AB224" s="40"/>
      <c r="AC224" s="40"/>
      <c r="AD224" s="41" t="s">
        <v>262</v>
      </c>
      <c r="AE224" s="40"/>
      <c r="AF224" s="40"/>
      <c r="AG224" s="40"/>
      <c r="AH224" s="40"/>
    </row>
    <row r="226" spans="4:36" ht="12.75" x14ac:dyDescent="0.2">
      <c r="E226" s="39">
        <v>1</v>
      </c>
      <c r="F226" s="40"/>
      <c r="G226" s="40"/>
      <c r="H226" s="40"/>
      <c r="I226" s="40"/>
      <c r="J226" s="39" t="s">
        <v>263</v>
      </c>
      <c r="K226" s="40"/>
      <c r="L226" s="40"/>
      <c r="M226" s="40"/>
      <c r="N226" s="40"/>
      <c r="O226" s="40"/>
      <c r="P226" s="40"/>
      <c r="Q226" s="40"/>
      <c r="R226" s="40"/>
      <c r="S226" s="40"/>
      <c r="T226" s="39">
        <v>225</v>
      </c>
      <c r="U226" s="40"/>
      <c r="V226" s="40"/>
      <c r="W226" s="40"/>
      <c r="X226" s="40"/>
      <c r="Y226" s="40"/>
      <c r="Z226" s="40"/>
      <c r="AA226" s="40"/>
      <c r="AB226" s="40"/>
      <c r="AC226" s="40"/>
      <c r="AD226" s="39">
        <v>80</v>
      </c>
      <c r="AE226" s="40"/>
      <c r="AF226" s="40"/>
      <c r="AG226" s="40"/>
      <c r="AH226" s="40"/>
      <c r="AI226" s="40"/>
      <c r="AJ226" s="40"/>
    </row>
    <row r="227" spans="4:36" ht="12.75" x14ac:dyDescent="0.2">
      <c r="D227" s="40"/>
      <c r="E227" s="40"/>
      <c r="F227" s="40"/>
      <c r="G227" s="40"/>
      <c r="H227" s="40"/>
      <c r="I227" s="40"/>
      <c r="J227" s="39" t="s">
        <v>264</v>
      </c>
      <c r="K227" s="40"/>
      <c r="L227" s="40"/>
      <c r="M227" s="40"/>
      <c r="N227" s="40"/>
      <c r="O227" s="40"/>
      <c r="P227" s="40"/>
      <c r="Q227" s="40"/>
      <c r="R227" s="40"/>
      <c r="S227" s="40"/>
      <c r="T227" s="39">
        <v>170</v>
      </c>
      <c r="U227" s="40"/>
      <c r="V227" s="40"/>
      <c r="W227" s="40"/>
      <c r="X227" s="40"/>
      <c r="Y227" s="40"/>
      <c r="Z227" s="40"/>
      <c r="AA227" s="40"/>
      <c r="AB227" s="40"/>
      <c r="AC227" s="40"/>
      <c r="AD227" s="39">
        <v>19</v>
      </c>
      <c r="AE227" s="40"/>
      <c r="AF227" s="40"/>
      <c r="AG227" s="40"/>
      <c r="AH227" s="40"/>
      <c r="AI227" s="40"/>
      <c r="AJ227" s="40"/>
    </row>
    <row r="228" spans="4:36" ht="12.75" x14ac:dyDescent="0.2">
      <c r="E228" s="39">
        <v>2</v>
      </c>
      <c r="F228" s="40"/>
      <c r="G228" s="40"/>
      <c r="H228" s="40"/>
      <c r="I228" s="40"/>
      <c r="J228" s="39" t="s">
        <v>263</v>
      </c>
      <c r="K228" s="40"/>
      <c r="L228" s="40"/>
      <c r="M228" s="40"/>
      <c r="N228" s="40"/>
      <c r="O228" s="40"/>
      <c r="P228" s="40"/>
      <c r="Q228" s="40"/>
      <c r="R228" s="40"/>
      <c r="S228" s="40"/>
      <c r="T228" s="39">
        <v>210</v>
      </c>
      <c r="U228" s="40"/>
      <c r="V228" s="40"/>
      <c r="W228" s="40"/>
      <c r="X228" s="40"/>
      <c r="Y228" s="40"/>
      <c r="Z228" s="40"/>
      <c r="AA228" s="40"/>
      <c r="AB228" s="40"/>
      <c r="AC228" s="40"/>
      <c r="AD228" s="39">
        <v>80</v>
      </c>
      <c r="AE228" s="40"/>
      <c r="AF228" s="40"/>
      <c r="AG228" s="40"/>
      <c r="AH228" s="40"/>
      <c r="AI228" s="40"/>
      <c r="AJ228" s="40"/>
    </row>
    <row r="229" spans="4:36" ht="12.75" x14ac:dyDescent="0.2">
      <c r="D229" s="40"/>
      <c r="E229" s="40"/>
      <c r="F229" s="40"/>
      <c r="G229" s="40"/>
      <c r="H229" s="40"/>
      <c r="I229" s="40"/>
      <c r="J229" s="39" t="s">
        <v>264</v>
      </c>
      <c r="K229" s="40"/>
      <c r="L229" s="40"/>
      <c r="M229" s="40"/>
      <c r="N229" s="40"/>
      <c r="O229" s="40"/>
      <c r="P229" s="40"/>
      <c r="Q229" s="40"/>
      <c r="R229" s="40"/>
      <c r="S229" s="40"/>
      <c r="T229" s="39">
        <v>187</v>
      </c>
      <c r="U229" s="40"/>
      <c r="V229" s="40"/>
      <c r="W229" s="40"/>
      <c r="X229" s="40"/>
      <c r="Y229" s="40"/>
      <c r="Z229" s="40"/>
      <c r="AA229" s="40"/>
      <c r="AB229" s="40"/>
      <c r="AC229" s="40"/>
      <c r="AD229" s="39">
        <v>61</v>
      </c>
      <c r="AE229" s="40"/>
      <c r="AF229" s="40"/>
      <c r="AG229" s="40"/>
      <c r="AH229" s="40"/>
      <c r="AI229" s="40"/>
      <c r="AJ229" s="40"/>
    </row>
    <row r="230" spans="4:36" ht="12.75" x14ac:dyDescent="0.2">
      <c r="E230" s="39">
        <v>3</v>
      </c>
      <c r="F230" s="40"/>
      <c r="G230" s="40"/>
      <c r="H230" s="40"/>
      <c r="I230" s="40"/>
      <c r="J230" s="39" t="s">
        <v>263</v>
      </c>
      <c r="K230" s="40"/>
      <c r="L230" s="40"/>
      <c r="M230" s="40"/>
      <c r="N230" s="40"/>
      <c r="O230" s="40"/>
      <c r="P230" s="40"/>
      <c r="Q230" s="40"/>
      <c r="R230" s="40"/>
      <c r="S230" s="40"/>
      <c r="T230" s="39">
        <v>250</v>
      </c>
      <c r="U230" s="40"/>
      <c r="V230" s="40"/>
      <c r="W230" s="40"/>
      <c r="X230" s="40"/>
      <c r="Y230" s="40"/>
      <c r="Z230" s="40"/>
      <c r="AA230" s="40"/>
      <c r="AB230" s="40"/>
      <c r="AC230" s="40"/>
      <c r="AD230" s="39">
        <v>80</v>
      </c>
      <c r="AE230" s="40"/>
      <c r="AF230" s="40"/>
      <c r="AG230" s="40"/>
      <c r="AH230" s="40"/>
      <c r="AI230" s="40"/>
      <c r="AJ230" s="40"/>
    </row>
    <row r="231" spans="4:36" ht="12.75" x14ac:dyDescent="0.2">
      <c r="D231" s="40"/>
      <c r="E231" s="40"/>
      <c r="F231" s="40"/>
      <c r="G231" s="40"/>
      <c r="H231" s="40"/>
      <c r="I231" s="40"/>
      <c r="J231" s="39" t="s">
        <v>264</v>
      </c>
      <c r="K231" s="40"/>
      <c r="L231" s="40"/>
      <c r="M231" s="40"/>
      <c r="N231" s="40"/>
      <c r="O231" s="40"/>
      <c r="P231" s="40"/>
      <c r="Q231" s="40"/>
      <c r="R231" s="40"/>
      <c r="S231" s="40"/>
      <c r="T231" s="39">
        <v>190</v>
      </c>
      <c r="U231" s="40"/>
      <c r="V231" s="40"/>
      <c r="W231" s="40"/>
      <c r="X231" s="40"/>
      <c r="Y231" s="40"/>
      <c r="Z231" s="40"/>
      <c r="AA231" s="40"/>
      <c r="AB231" s="40"/>
      <c r="AC231" s="40"/>
      <c r="AD231" s="39">
        <v>30</v>
      </c>
      <c r="AE231" s="40"/>
      <c r="AF231" s="40"/>
      <c r="AG231" s="40"/>
      <c r="AH231" s="40"/>
      <c r="AI231" s="40"/>
      <c r="AJ231" s="40"/>
    </row>
    <row r="232" spans="4:36" ht="12.75" x14ac:dyDescent="0.2">
      <c r="E232" s="39">
        <v>4</v>
      </c>
      <c r="F232" s="40"/>
      <c r="G232" s="40"/>
      <c r="H232" s="40"/>
      <c r="I232" s="40"/>
      <c r="J232" s="39" t="s">
        <v>263</v>
      </c>
      <c r="K232" s="40"/>
      <c r="L232" s="40"/>
      <c r="M232" s="40"/>
      <c r="N232" s="40"/>
      <c r="O232" s="40"/>
      <c r="P232" s="40"/>
      <c r="Q232" s="40"/>
      <c r="R232" s="40"/>
      <c r="S232" s="40"/>
      <c r="T232" s="39">
        <v>240</v>
      </c>
      <c r="U232" s="40"/>
      <c r="V232" s="40"/>
      <c r="W232" s="40"/>
      <c r="X232" s="40"/>
      <c r="Y232" s="40"/>
      <c r="Z232" s="40"/>
      <c r="AA232" s="40"/>
      <c r="AB232" s="40"/>
      <c r="AC232" s="40"/>
      <c r="AD232" s="39">
        <v>80</v>
      </c>
      <c r="AE232" s="40"/>
      <c r="AF232" s="40"/>
      <c r="AG232" s="40"/>
      <c r="AH232" s="40"/>
      <c r="AI232" s="40"/>
      <c r="AJ232" s="40"/>
    </row>
    <row r="233" spans="4:36" ht="12.75" x14ac:dyDescent="0.2">
      <c r="D233" s="40"/>
      <c r="E233" s="40"/>
      <c r="F233" s="40"/>
      <c r="G233" s="40"/>
      <c r="H233" s="40"/>
      <c r="I233" s="40"/>
      <c r="J233" s="39" t="s">
        <v>264</v>
      </c>
      <c r="K233" s="40"/>
      <c r="L233" s="40"/>
      <c r="M233" s="40"/>
      <c r="N233" s="40"/>
      <c r="O233" s="40"/>
      <c r="P233" s="40"/>
      <c r="Q233" s="40"/>
      <c r="R233" s="40"/>
      <c r="S233" s="40"/>
      <c r="T233" s="39">
        <v>275</v>
      </c>
      <c r="U233" s="40"/>
      <c r="V233" s="40"/>
      <c r="W233" s="40"/>
      <c r="X233" s="40"/>
      <c r="Y233" s="40"/>
      <c r="Z233" s="40"/>
      <c r="AA233" s="40"/>
      <c r="AB233" s="40"/>
      <c r="AC233" s="40"/>
      <c r="AD233" s="39">
        <v>90</v>
      </c>
      <c r="AE233" s="40"/>
      <c r="AF233" s="40"/>
      <c r="AG233" s="40"/>
      <c r="AH233" s="40"/>
      <c r="AI233" s="40"/>
      <c r="AJ233" s="40"/>
    </row>
    <row r="234" spans="4:36" ht="12.75" x14ac:dyDescent="0.2">
      <c r="E234" s="39">
        <v>5</v>
      </c>
      <c r="F234" s="40"/>
      <c r="G234" s="40"/>
      <c r="H234" s="40"/>
      <c r="I234" s="40"/>
      <c r="J234" s="39" t="s">
        <v>263</v>
      </c>
      <c r="K234" s="40"/>
      <c r="L234" s="40"/>
      <c r="M234" s="40"/>
      <c r="N234" s="40"/>
      <c r="O234" s="40"/>
      <c r="P234" s="40"/>
      <c r="Q234" s="40"/>
      <c r="R234" s="40"/>
      <c r="S234" s="40"/>
      <c r="T234" s="39">
        <v>205</v>
      </c>
      <c r="U234" s="40"/>
      <c r="V234" s="40"/>
      <c r="W234" s="40"/>
      <c r="X234" s="40"/>
      <c r="Y234" s="40"/>
      <c r="Z234" s="40"/>
      <c r="AA234" s="40"/>
      <c r="AB234" s="40"/>
      <c r="AC234" s="40"/>
      <c r="AD234" s="39">
        <v>80</v>
      </c>
      <c r="AE234" s="40"/>
      <c r="AF234" s="40"/>
      <c r="AG234" s="40"/>
      <c r="AH234" s="40"/>
      <c r="AI234" s="40"/>
      <c r="AJ234" s="40"/>
    </row>
    <row r="235" spans="4:36" ht="12.75" x14ac:dyDescent="0.2">
      <c r="D235" s="40"/>
      <c r="E235" s="40"/>
      <c r="F235" s="40"/>
      <c r="G235" s="40"/>
      <c r="H235" s="40"/>
      <c r="I235" s="40"/>
      <c r="J235" s="39" t="s">
        <v>264</v>
      </c>
      <c r="K235" s="40"/>
      <c r="L235" s="40"/>
      <c r="M235" s="40"/>
      <c r="N235" s="40"/>
      <c r="O235" s="40"/>
      <c r="P235" s="40"/>
      <c r="Q235" s="40"/>
      <c r="R235" s="40"/>
      <c r="S235" s="40"/>
      <c r="T235" s="39">
        <v>170</v>
      </c>
      <c r="U235" s="40"/>
      <c r="V235" s="40"/>
      <c r="W235" s="40"/>
      <c r="X235" s="40"/>
      <c r="Y235" s="40"/>
      <c r="Z235" s="40"/>
      <c r="AA235" s="40"/>
      <c r="AB235" s="40"/>
      <c r="AC235" s="40"/>
      <c r="AD235" s="39">
        <v>30</v>
      </c>
      <c r="AE235" s="40"/>
      <c r="AF235" s="40"/>
      <c r="AG235" s="40"/>
      <c r="AH235" s="40"/>
      <c r="AI235" s="40"/>
      <c r="AJ235" s="40"/>
    </row>
    <row r="236" spans="4:36" ht="12.75" x14ac:dyDescent="0.2">
      <c r="E236" s="39">
        <v>6</v>
      </c>
      <c r="F236" s="40"/>
      <c r="G236" s="40"/>
      <c r="H236" s="40"/>
      <c r="I236" s="40"/>
      <c r="J236" s="39" t="s">
        <v>263</v>
      </c>
      <c r="K236" s="40"/>
      <c r="L236" s="40"/>
      <c r="M236" s="40"/>
      <c r="N236" s="40"/>
      <c r="O236" s="40"/>
      <c r="P236" s="40"/>
      <c r="Q236" s="40"/>
      <c r="R236" s="40"/>
      <c r="S236" s="40"/>
      <c r="T236" s="39">
        <v>205</v>
      </c>
      <c r="U236" s="40"/>
      <c r="V236" s="40"/>
      <c r="W236" s="40"/>
      <c r="X236" s="40"/>
      <c r="Y236" s="40"/>
      <c r="Z236" s="40"/>
      <c r="AA236" s="40"/>
      <c r="AB236" s="40"/>
      <c r="AC236" s="40"/>
      <c r="AD236" s="39">
        <v>80</v>
      </c>
      <c r="AE236" s="40"/>
      <c r="AF236" s="40"/>
      <c r="AG236" s="40"/>
      <c r="AH236" s="40"/>
      <c r="AI236" s="40"/>
      <c r="AJ236" s="40"/>
    </row>
    <row r="237" spans="4:36" ht="12.75" x14ac:dyDescent="0.2">
      <c r="D237" s="40"/>
      <c r="E237" s="40"/>
      <c r="F237" s="40"/>
      <c r="G237" s="40"/>
      <c r="H237" s="40"/>
      <c r="I237" s="40"/>
      <c r="J237" s="39" t="s">
        <v>264</v>
      </c>
      <c r="K237" s="40"/>
      <c r="L237" s="40"/>
      <c r="M237" s="40"/>
      <c r="N237" s="40"/>
      <c r="O237" s="40"/>
      <c r="P237" s="40"/>
      <c r="Q237" s="40"/>
      <c r="R237" s="40"/>
      <c r="S237" s="40"/>
      <c r="T237" s="39">
        <v>150</v>
      </c>
      <c r="U237" s="40"/>
      <c r="V237" s="40"/>
      <c r="W237" s="40"/>
      <c r="X237" s="40"/>
      <c r="Y237" s="40"/>
      <c r="Z237" s="40"/>
      <c r="AA237" s="40"/>
      <c r="AB237" s="40"/>
      <c r="AC237" s="40"/>
      <c r="AD237" s="39">
        <v>20</v>
      </c>
      <c r="AE237" s="40"/>
      <c r="AF237" s="40"/>
      <c r="AG237" s="40"/>
      <c r="AH237" s="40"/>
      <c r="AI237" s="40"/>
      <c r="AJ237" s="40"/>
    </row>
    <row r="238" spans="4:36" ht="12.75" x14ac:dyDescent="0.2">
      <c r="E238" s="39">
        <v>7</v>
      </c>
      <c r="F238" s="40"/>
      <c r="G238" s="40"/>
      <c r="H238" s="40"/>
      <c r="I238" s="40"/>
      <c r="J238" s="39" t="s">
        <v>263</v>
      </c>
      <c r="K238" s="40"/>
      <c r="L238" s="40"/>
      <c r="M238" s="40"/>
      <c r="N238" s="40"/>
      <c r="O238" s="40"/>
      <c r="P238" s="40"/>
      <c r="Q238" s="40"/>
      <c r="R238" s="40"/>
      <c r="S238" s="40"/>
      <c r="T238" s="39">
        <v>220</v>
      </c>
      <c r="U238" s="40"/>
      <c r="V238" s="40"/>
      <c r="W238" s="40"/>
      <c r="X238" s="40"/>
      <c r="Y238" s="40"/>
      <c r="Z238" s="40"/>
      <c r="AA238" s="40"/>
      <c r="AB238" s="40"/>
      <c r="AC238" s="40"/>
      <c r="AD238" s="39">
        <v>80</v>
      </c>
      <c r="AE238" s="40"/>
      <c r="AF238" s="40"/>
      <c r="AG238" s="40"/>
      <c r="AH238" s="40"/>
      <c r="AI238" s="40"/>
      <c r="AJ238" s="40"/>
    </row>
    <row r="239" spans="4:36" ht="12.75" x14ac:dyDescent="0.2">
      <c r="D239" s="40"/>
      <c r="E239" s="40"/>
      <c r="F239" s="40"/>
      <c r="G239" s="40"/>
      <c r="H239" s="40"/>
      <c r="I239" s="40"/>
      <c r="J239" s="39" t="s">
        <v>264</v>
      </c>
      <c r="K239" s="40"/>
      <c r="L239" s="40"/>
      <c r="M239" s="40"/>
      <c r="N239" s="40"/>
      <c r="O239" s="40"/>
      <c r="P239" s="40"/>
      <c r="Q239" s="40"/>
      <c r="R239" s="40"/>
      <c r="S239" s="40"/>
      <c r="T239" s="39">
        <v>145</v>
      </c>
      <c r="U239" s="40"/>
      <c r="V239" s="40"/>
      <c r="W239" s="40"/>
      <c r="X239" s="40"/>
      <c r="Y239" s="40"/>
      <c r="Z239" s="40"/>
      <c r="AA239" s="40"/>
      <c r="AB239" s="40"/>
      <c r="AC239" s="40"/>
      <c r="AD239" s="39">
        <v>10</v>
      </c>
      <c r="AE239" s="40"/>
      <c r="AF239" s="40"/>
      <c r="AG239" s="40"/>
      <c r="AH239" s="40"/>
      <c r="AI239" s="40"/>
      <c r="AJ239" s="40"/>
    </row>
    <row r="241" spans="3:36" ht="12.75" x14ac:dyDescent="0.2">
      <c r="C241" s="22">
        <v>4</v>
      </c>
      <c r="D241" s="41" t="s">
        <v>261</v>
      </c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1" t="s">
        <v>6</v>
      </c>
      <c r="Y241" s="40"/>
      <c r="Z241" s="40"/>
      <c r="AA241" s="40"/>
      <c r="AB241" s="40"/>
      <c r="AC241" s="40"/>
      <c r="AD241" s="41" t="s">
        <v>262</v>
      </c>
      <c r="AE241" s="40"/>
      <c r="AF241" s="40"/>
      <c r="AG241" s="40"/>
      <c r="AH241" s="40"/>
    </row>
    <row r="243" spans="3:36" ht="12.75" x14ac:dyDescent="0.2">
      <c r="E243" s="39">
        <v>1</v>
      </c>
      <c r="F243" s="40"/>
      <c r="G243" s="40"/>
      <c r="H243" s="40"/>
      <c r="I243" s="40"/>
      <c r="J243" s="39" t="s">
        <v>263</v>
      </c>
      <c r="K243" s="40"/>
      <c r="L243" s="40"/>
      <c r="M243" s="40"/>
      <c r="N243" s="40"/>
      <c r="O243" s="40"/>
      <c r="P243" s="40"/>
      <c r="Q243" s="40"/>
      <c r="R243" s="40"/>
      <c r="S243" s="40"/>
      <c r="T243" s="39">
        <v>260</v>
      </c>
      <c r="U243" s="40"/>
      <c r="V243" s="40"/>
      <c r="W243" s="40"/>
      <c r="X243" s="40"/>
      <c r="Y243" s="40"/>
      <c r="Z243" s="40"/>
      <c r="AA243" s="40"/>
      <c r="AB243" s="40"/>
      <c r="AC243" s="40"/>
      <c r="AD243" s="39">
        <v>80</v>
      </c>
      <c r="AE243" s="40"/>
      <c r="AF243" s="40"/>
      <c r="AG243" s="40"/>
      <c r="AH243" s="40"/>
      <c r="AI243" s="40"/>
      <c r="AJ243" s="40"/>
    </row>
    <row r="244" spans="3:36" ht="12.75" x14ac:dyDescent="0.2">
      <c r="D244" s="40"/>
      <c r="E244" s="40"/>
      <c r="F244" s="40"/>
      <c r="G244" s="40"/>
      <c r="H244" s="40"/>
      <c r="I244" s="40"/>
      <c r="J244" s="39" t="s">
        <v>264</v>
      </c>
      <c r="K244" s="40"/>
      <c r="L244" s="40"/>
      <c r="M244" s="40"/>
      <c r="N244" s="40"/>
      <c r="O244" s="40"/>
      <c r="P244" s="40"/>
      <c r="Q244" s="40"/>
      <c r="R244" s="40"/>
      <c r="S244" s="40"/>
      <c r="T244" s="39">
        <v>160</v>
      </c>
      <c r="U244" s="40"/>
      <c r="V244" s="40"/>
      <c r="W244" s="40"/>
      <c r="X244" s="40"/>
      <c r="Y244" s="40"/>
      <c r="Z244" s="40"/>
      <c r="AA244" s="40"/>
      <c r="AB244" s="40"/>
      <c r="AC244" s="40"/>
      <c r="AD244" s="39">
        <v>19</v>
      </c>
      <c r="AE244" s="40"/>
      <c r="AF244" s="40"/>
      <c r="AG244" s="40"/>
      <c r="AH244" s="40"/>
      <c r="AI244" s="40"/>
      <c r="AJ244" s="40"/>
    </row>
    <row r="245" spans="3:36" ht="12.75" x14ac:dyDescent="0.2">
      <c r="E245" s="39">
        <v>2</v>
      </c>
      <c r="F245" s="40"/>
      <c r="G245" s="40"/>
      <c r="H245" s="40"/>
      <c r="I245" s="40"/>
      <c r="J245" s="39" t="s">
        <v>263</v>
      </c>
      <c r="K245" s="40"/>
      <c r="L245" s="40"/>
      <c r="M245" s="40"/>
      <c r="N245" s="40"/>
      <c r="O245" s="40"/>
      <c r="P245" s="40"/>
      <c r="Q245" s="40"/>
      <c r="R245" s="40"/>
      <c r="S245" s="40"/>
      <c r="T245" s="39">
        <v>235</v>
      </c>
      <c r="U245" s="40"/>
      <c r="V245" s="40"/>
      <c r="W245" s="40"/>
      <c r="X245" s="40"/>
      <c r="Y245" s="40"/>
      <c r="Z245" s="40"/>
      <c r="AA245" s="40"/>
      <c r="AB245" s="40"/>
      <c r="AC245" s="40"/>
      <c r="AD245" s="39">
        <v>80</v>
      </c>
      <c r="AE245" s="40"/>
      <c r="AF245" s="40"/>
      <c r="AG245" s="40"/>
      <c r="AH245" s="40"/>
      <c r="AI245" s="40"/>
      <c r="AJ245" s="40"/>
    </row>
    <row r="246" spans="3:36" ht="12.75" x14ac:dyDescent="0.2">
      <c r="D246" s="40"/>
      <c r="E246" s="40"/>
      <c r="F246" s="40"/>
      <c r="G246" s="40"/>
      <c r="H246" s="40"/>
      <c r="I246" s="40"/>
      <c r="J246" s="39" t="s">
        <v>264</v>
      </c>
      <c r="K246" s="40"/>
      <c r="L246" s="40"/>
      <c r="M246" s="40"/>
      <c r="N246" s="40"/>
      <c r="O246" s="40"/>
      <c r="P246" s="40"/>
      <c r="Q246" s="40"/>
      <c r="R246" s="40"/>
      <c r="S246" s="40"/>
      <c r="T246" s="39">
        <v>205</v>
      </c>
      <c r="U246" s="40"/>
      <c r="V246" s="40"/>
      <c r="W246" s="40"/>
      <c r="X246" s="40"/>
      <c r="Y246" s="40"/>
      <c r="Z246" s="40"/>
      <c r="AA246" s="40"/>
      <c r="AB246" s="40"/>
      <c r="AC246" s="40"/>
      <c r="AD246" s="39">
        <v>61</v>
      </c>
      <c r="AE246" s="40"/>
      <c r="AF246" s="40"/>
      <c r="AG246" s="40"/>
      <c r="AH246" s="40"/>
      <c r="AI246" s="40"/>
      <c r="AJ246" s="40"/>
    </row>
    <row r="247" spans="3:36" ht="12.75" x14ac:dyDescent="0.2">
      <c r="E247" s="39">
        <v>3</v>
      </c>
      <c r="F247" s="40"/>
      <c r="G247" s="40"/>
      <c r="H247" s="40"/>
      <c r="I247" s="40"/>
      <c r="J247" s="39" t="s">
        <v>263</v>
      </c>
      <c r="K247" s="40"/>
      <c r="L247" s="40"/>
      <c r="M247" s="40"/>
      <c r="N247" s="40"/>
      <c r="O247" s="40"/>
      <c r="P247" s="40"/>
      <c r="Q247" s="40"/>
      <c r="R247" s="40"/>
      <c r="S247" s="40"/>
      <c r="T247" s="39">
        <v>240</v>
      </c>
      <c r="U247" s="40"/>
      <c r="V247" s="40"/>
      <c r="W247" s="40"/>
      <c r="X247" s="40"/>
      <c r="Y247" s="40"/>
      <c r="Z247" s="40"/>
      <c r="AA247" s="40"/>
      <c r="AB247" s="40"/>
      <c r="AC247" s="40"/>
      <c r="AD247" s="39">
        <v>80</v>
      </c>
      <c r="AE247" s="40"/>
      <c r="AF247" s="40"/>
      <c r="AG247" s="40"/>
      <c r="AH247" s="40"/>
      <c r="AI247" s="40"/>
      <c r="AJ247" s="40"/>
    </row>
    <row r="248" spans="3:36" ht="12.75" x14ac:dyDescent="0.2">
      <c r="D248" s="40"/>
      <c r="E248" s="40"/>
      <c r="F248" s="40"/>
      <c r="G248" s="40"/>
      <c r="H248" s="40"/>
      <c r="I248" s="40"/>
      <c r="J248" s="39" t="s">
        <v>264</v>
      </c>
      <c r="K248" s="40"/>
      <c r="L248" s="40"/>
      <c r="M248" s="40"/>
      <c r="N248" s="40"/>
      <c r="O248" s="40"/>
      <c r="P248" s="40"/>
      <c r="Q248" s="40"/>
      <c r="R248" s="40"/>
      <c r="S248" s="40"/>
      <c r="T248" s="39">
        <v>190</v>
      </c>
      <c r="U248" s="40"/>
      <c r="V248" s="40"/>
      <c r="W248" s="40"/>
      <c r="X248" s="40"/>
      <c r="Y248" s="40"/>
      <c r="Z248" s="40"/>
      <c r="AA248" s="40"/>
      <c r="AB248" s="40"/>
      <c r="AC248" s="40"/>
      <c r="AD248" s="39">
        <v>30</v>
      </c>
      <c r="AE248" s="40"/>
      <c r="AF248" s="40"/>
      <c r="AG248" s="40"/>
      <c r="AH248" s="40"/>
      <c r="AI248" s="40"/>
      <c r="AJ248" s="40"/>
    </row>
    <row r="249" spans="3:36" ht="12.75" x14ac:dyDescent="0.2">
      <c r="E249" s="39">
        <v>4</v>
      </c>
      <c r="F249" s="40"/>
      <c r="G249" s="40"/>
      <c r="H249" s="40"/>
      <c r="I249" s="40"/>
      <c r="J249" s="39" t="s">
        <v>263</v>
      </c>
      <c r="K249" s="40"/>
      <c r="L249" s="40"/>
      <c r="M249" s="40"/>
      <c r="N249" s="40"/>
      <c r="O249" s="40"/>
      <c r="P249" s="40"/>
      <c r="Q249" s="40"/>
      <c r="R249" s="40"/>
      <c r="S249" s="40"/>
      <c r="T249" s="39">
        <v>245</v>
      </c>
      <c r="U249" s="40"/>
      <c r="V249" s="40"/>
      <c r="W249" s="40"/>
      <c r="X249" s="40"/>
      <c r="Y249" s="40"/>
      <c r="Z249" s="40"/>
      <c r="AA249" s="40"/>
      <c r="AB249" s="40"/>
      <c r="AC249" s="40"/>
      <c r="AD249" s="39">
        <v>80</v>
      </c>
      <c r="AE249" s="40"/>
      <c r="AF249" s="40"/>
      <c r="AG249" s="40"/>
      <c r="AH249" s="40"/>
      <c r="AI249" s="40"/>
      <c r="AJ249" s="40"/>
    </row>
    <row r="250" spans="3:36" ht="12.75" x14ac:dyDescent="0.2">
      <c r="D250" s="40"/>
      <c r="E250" s="40"/>
      <c r="F250" s="40"/>
      <c r="G250" s="40"/>
      <c r="H250" s="40"/>
      <c r="I250" s="40"/>
      <c r="J250" s="39" t="s">
        <v>264</v>
      </c>
      <c r="K250" s="40"/>
      <c r="L250" s="40"/>
      <c r="M250" s="40"/>
      <c r="N250" s="40"/>
      <c r="O250" s="40"/>
      <c r="P250" s="40"/>
      <c r="Q250" s="40"/>
      <c r="R250" s="40"/>
      <c r="S250" s="40"/>
      <c r="T250" s="39">
        <v>280</v>
      </c>
      <c r="U250" s="40"/>
      <c r="V250" s="40"/>
      <c r="W250" s="40"/>
      <c r="X250" s="40"/>
      <c r="Y250" s="40"/>
      <c r="Z250" s="40"/>
      <c r="AA250" s="40"/>
      <c r="AB250" s="40"/>
      <c r="AC250" s="40"/>
      <c r="AD250" s="39">
        <v>90</v>
      </c>
      <c r="AE250" s="40"/>
      <c r="AF250" s="40"/>
      <c r="AG250" s="40"/>
      <c r="AH250" s="40"/>
      <c r="AI250" s="40"/>
      <c r="AJ250" s="40"/>
    </row>
    <row r="251" spans="3:36" ht="12.75" x14ac:dyDescent="0.2">
      <c r="E251" s="39">
        <v>5</v>
      </c>
      <c r="F251" s="40"/>
      <c r="G251" s="40"/>
      <c r="H251" s="40"/>
      <c r="I251" s="40"/>
      <c r="J251" s="39" t="s">
        <v>263</v>
      </c>
      <c r="K251" s="40"/>
      <c r="L251" s="40"/>
      <c r="M251" s="40"/>
      <c r="N251" s="40"/>
      <c r="O251" s="40"/>
      <c r="P251" s="40"/>
      <c r="Q251" s="40"/>
      <c r="R251" s="40"/>
      <c r="S251" s="40"/>
      <c r="T251" s="39">
        <v>225</v>
      </c>
      <c r="U251" s="40"/>
      <c r="V251" s="40"/>
      <c r="W251" s="40"/>
      <c r="X251" s="40"/>
      <c r="Y251" s="40"/>
      <c r="Z251" s="40"/>
      <c r="AA251" s="40"/>
      <c r="AB251" s="40"/>
      <c r="AC251" s="40"/>
      <c r="AD251" s="39">
        <v>80</v>
      </c>
      <c r="AE251" s="40"/>
      <c r="AF251" s="40"/>
      <c r="AG251" s="40"/>
      <c r="AH251" s="40"/>
      <c r="AI251" s="40"/>
      <c r="AJ251" s="40"/>
    </row>
    <row r="252" spans="3:36" ht="12.75" x14ac:dyDescent="0.2">
      <c r="D252" s="40"/>
      <c r="E252" s="40"/>
      <c r="F252" s="40"/>
      <c r="G252" s="40"/>
      <c r="H252" s="40"/>
      <c r="I252" s="40"/>
      <c r="J252" s="39" t="s">
        <v>264</v>
      </c>
      <c r="K252" s="40"/>
      <c r="L252" s="40"/>
      <c r="M252" s="40"/>
      <c r="N252" s="40"/>
      <c r="O252" s="40"/>
      <c r="P252" s="40"/>
      <c r="Q252" s="40"/>
      <c r="R252" s="40"/>
      <c r="S252" s="40"/>
      <c r="T252" s="39">
        <v>190</v>
      </c>
      <c r="U252" s="40"/>
      <c r="V252" s="40"/>
      <c r="W252" s="40"/>
      <c r="X252" s="40"/>
      <c r="Y252" s="40"/>
      <c r="Z252" s="40"/>
      <c r="AA252" s="40"/>
      <c r="AB252" s="40"/>
      <c r="AC252" s="40"/>
      <c r="AD252" s="39">
        <v>30</v>
      </c>
      <c r="AE252" s="40"/>
      <c r="AF252" s="40"/>
      <c r="AG252" s="40"/>
      <c r="AH252" s="40"/>
      <c r="AI252" s="40"/>
      <c r="AJ252" s="40"/>
    </row>
    <row r="253" spans="3:36" ht="12.75" x14ac:dyDescent="0.2">
      <c r="E253" s="39">
        <v>6</v>
      </c>
      <c r="F253" s="40"/>
      <c r="G253" s="40"/>
      <c r="H253" s="40"/>
      <c r="I253" s="40"/>
      <c r="J253" s="39" t="s">
        <v>263</v>
      </c>
      <c r="K253" s="40"/>
      <c r="L253" s="40"/>
      <c r="M253" s="40"/>
      <c r="N253" s="40"/>
      <c r="O253" s="40"/>
      <c r="P253" s="40"/>
      <c r="Q253" s="40"/>
      <c r="R253" s="40"/>
      <c r="S253" s="40"/>
      <c r="T253" s="39">
        <v>220</v>
      </c>
      <c r="U253" s="40"/>
      <c r="V253" s="40"/>
      <c r="W253" s="40"/>
      <c r="X253" s="40"/>
      <c r="Y253" s="40"/>
      <c r="Z253" s="40"/>
      <c r="AA253" s="40"/>
      <c r="AB253" s="40"/>
      <c r="AC253" s="40"/>
      <c r="AD253" s="39">
        <v>80</v>
      </c>
      <c r="AE253" s="40"/>
      <c r="AF253" s="40"/>
      <c r="AG253" s="40"/>
      <c r="AH253" s="40"/>
      <c r="AI253" s="40"/>
      <c r="AJ253" s="40"/>
    </row>
    <row r="254" spans="3:36" ht="12.75" x14ac:dyDescent="0.2">
      <c r="D254" s="40"/>
      <c r="E254" s="40"/>
      <c r="F254" s="40"/>
      <c r="G254" s="40"/>
      <c r="H254" s="40"/>
      <c r="I254" s="40"/>
      <c r="J254" s="39" t="s">
        <v>264</v>
      </c>
      <c r="K254" s="40"/>
      <c r="L254" s="40"/>
      <c r="M254" s="40"/>
      <c r="N254" s="40"/>
      <c r="O254" s="40"/>
      <c r="P254" s="40"/>
      <c r="Q254" s="40"/>
      <c r="R254" s="40"/>
      <c r="S254" s="40"/>
      <c r="T254" s="39">
        <v>165</v>
      </c>
      <c r="U254" s="40"/>
      <c r="V254" s="40"/>
      <c r="W254" s="40"/>
      <c r="X254" s="40"/>
      <c r="Y254" s="40"/>
      <c r="Z254" s="40"/>
      <c r="AA254" s="40"/>
      <c r="AB254" s="40"/>
      <c r="AC254" s="40"/>
      <c r="AD254" s="39">
        <v>20</v>
      </c>
      <c r="AE254" s="40"/>
      <c r="AF254" s="40"/>
      <c r="AG254" s="40"/>
      <c r="AH254" s="40"/>
      <c r="AI254" s="40"/>
      <c r="AJ254" s="40"/>
    </row>
    <row r="255" spans="3:36" ht="12.75" x14ac:dyDescent="0.2">
      <c r="E255" s="39">
        <v>7</v>
      </c>
      <c r="F255" s="40"/>
      <c r="G255" s="40"/>
      <c r="H255" s="40"/>
      <c r="I255" s="40"/>
      <c r="J255" s="39" t="s">
        <v>263</v>
      </c>
      <c r="K255" s="40"/>
      <c r="L255" s="40"/>
      <c r="M255" s="40"/>
      <c r="N255" s="40"/>
      <c r="O255" s="40"/>
      <c r="P255" s="40"/>
      <c r="Q255" s="40"/>
      <c r="R255" s="40"/>
      <c r="S255" s="40"/>
      <c r="T255" s="39">
        <v>225</v>
      </c>
      <c r="U255" s="40"/>
      <c r="V255" s="40"/>
      <c r="W255" s="40"/>
      <c r="X255" s="40"/>
      <c r="Y255" s="40"/>
      <c r="Z255" s="40"/>
      <c r="AA255" s="40"/>
      <c r="AB255" s="40"/>
      <c r="AC255" s="40"/>
      <c r="AD255" s="39">
        <v>80</v>
      </c>
      <c r="AE255" s="40"/>
      <c r="AF255" s="40"/>
      <c r="AG255" s="40"/>
      <c r="AH255" s="40"/>
      <c r="AI255" s="40"/>
      <c r="AJ255" s="40"/>
    </row>
    <row r="256" spans="3:36" ht="12.75" x14ac:dyDescent="0.2">
      <c r="D256" s="40"/>
      <c r="E256" s="40"/>
      <c r="F256" s="40"/>
      <c r="G256" s="40"/>
      <c r="H256" s="40"/>
      <c r="I256" s="40"/>
      <c r="J256" s="39" t="s">
        <v>264</v>
      </c>
      <c r="K256" s="40"/>
      <c r="L256" s="40"/>
      <c r="M256" s="40"/>
      <c r="N256" s="40"/>
      <c r="O256" s="40"/>
      <c r="P256" s="40"/>
      <c r="Q256" s="40"/>
      <c r="R256" s="40"/>
      <c r="S256" s="40"/>
      <c r="T256" s="39">
        <v>175</v>
      </c>
      <c r="U256" s="40"/>
      <c r="V256" s="40"/>
      <c r="W256" s="40"/>
      <c r="X256" s="40"/>
      <c r="Y256" s="40"/>
      <c r="Z256" s="40"/>
      <c r="AA256" s="40"/>
      <c r="AB256" s="40"/>
      <c r="AC256" s="40"/>
      <c r="AD256" s="39">
        <v>30</v>
      </c>
      <c r="AE256" s="40"/>
      <c r="AF256" s="40"/>
      <c r="AG256" s="40"/>
      <c r="AH256" s="40"/>
      <c r="AI256" s="40"/>
      <c r="AJ256" s="40"/>
    </row>
    <row r="258" spans="3:36" ht="12.75" x14ac:dyDescent="0.2">
      <c r="C258" s="22">
        <v>5</v>
      </c>
      <c r="D258" s="41" t="s">
        <v>261</v>
      </c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1" t="s">
        <v>6</v>
      </c>
      <c r="Y258" s="40"/>
      <c r="Z258" s="40"/>
      <c r="AA258" s="40"/>
      <c r="AB258" s="40"/>
      <c r="AC258" s="40"/>
      <c r="AD258" s="41" t="s">
        <v>262</v>
      </c>
      <c r="AE258" s="40"/>
      <c r="AF258" s="40"/>
      <c r="AG258" s="40"/>
      <c r="AH258" s="40"/>
    </row>
    <row r="260" spans="3:36" ht="12.75" x14ac:dyDescent="0.2">
      <c r="E260" s="39">
        <v>1</v>
      </c>
      <c r="F260" s="40"/>
      <c r="G260" s="40"/>
      <c r="H260" s="40"/>
      <c r="I260" s="40"/>
      <c r="J260" s="39" t="s">
        <v>263</v>
      </c>
      <c r="K260" s="40"/>
      <c r="L260" s="40"/>
      <c r="M260" s="40"/>
      <c r="N260" s="40"/>
      <c r="O260" s="40"/>
      <c r="P260" s="40"/>
      <c r="Q260" s="40"/>
      <c r="R260" s="40"/>
      <c r="S260" s="40"/>
      <c r="T260" s="39">
        <v>275</v>
      </c>
      <c r="U260" s="40"/>
      <c r="V260" s="40"/>
      <c r="W260" s="40"/>
      <c r="X260" s="40"/>
      <c r="Y260" s="40"/>
      <c r="Z260" s="40"/>
      <c r="AA260" s="40"/>
      <c r="AB260" s="40"/>
      <c r="AC260" s="40"/>
      <c r="AD260" s="39">
        <v>80</v>
      </c>
      <c r="AE260" s="40"/>
      <c r="AF260" s="40"/>
      <c r="AG260" s="40"/>
      <c r="AH260" s="40"/>
      <c r="AI260" s="40"/>
      <c r="AJ260" s="40"/>
    </row>
    <row r="261" spans="3:36" ht="12.75" x14ac:dyDescent="0.2">
      <c r="D261" s="40"/>
      <c r="E261" s="40"/>
      <c r="F261" s="40"/>
      <c r="G261" s="40"/>
      <c r="H261" s="40"/>
      <c r="I261" s="40"/>
      <c r="J261" s="39" t="s">
        <v>264</v>
      </c>
      <c r="K261" s="40"/>
      <c r="L261" s="40"/>
      <c r="M261" s="40"/>
      <c r="N261" s="40"/>
      <c r="O261" s="40"/>
      <c r="P261" s="40"/>
      <c r="Q261" s="40"/>
      <c r="R261" s="40"/>
      <c r="S261" s="40"/>
      <c r="T261" s="39">
        <v>190</v>
      </c>
      <c r="U261" s="40"/>
      <c r="V261" s="40"/>
      <c r="W261" s="40"/>
      <c r="X261" s="40"/>
      <c r="Y261" s="40"/>
      <c r="Z261" s="40"/>
      <c r="AA261" s="40"/>
      <c r="AB261" s="40"/>
      <c r="AC261" s="40"/>
      <c r="AD261" s="39">
        <v>19</v>
      </c>
      <c r="AE261" s="40"/>
      <c r="AF261" s="40"/>
      <c r="AG261" s="40"/>
      <c r="AH261" s="40"/>
      <c r="AI261" s="40"/>
      <c r="AJ261" s="40"/>
    </row>
    <row r="262" spans="3:36" ht="12.75" x14ac:dyDescent="0.2">
      <c r="E262" s="39">
        <v>2</v>
      </c>
      <c r="F262" s="40"/>
      <c r="G262" s="40"/>
      <c r="H262" s="40"/>
      <c r="I262" s="40"/>
      <c r="J262" s="39" t="s">
        <v>263</v>
      </c>
      <c r="K262" s="40"/>
      <c r="L262" s="40"/>
      <c r="M262" s="40"/>
      <c r="N262" s="40"/>
      <c r="O262" s="40"/>
      <c r="P262" s="40"/>
      <c r="Q262" s="40"/>
      <c r="R262" s="40"/>
      <c r="S262" s="40"/>
      <c r="T262" s="39">
        <v>235</v>
      </c>
      <c r="U262" s="40"/>
      <c r="V262" s="40"/>
      <c r="W262" s="40"/>
      <c r="X262" s="40"/>
      <c r="Y262" s="40"/>
      <c r="Z262" s="40"/>
      <c r="AA262" s="40"/>
      <c r="AB262" s="40"/>
      <c r="AC262" s="40"/>
      <c r="AD262" s="39">
        <v>80</v>
      </c>
      <c r="AE262" s="40"/>
      <c r="AF262" s="40"/>
      <c r="AG262" s="40"/>
      <c r="AH262" s="40"/>
      <c r="AI262" s="40"/>
      <c r="AJ262" s="40"/>
    </row>
    <row r="263" spans="3:36" ht="12.75" x14ac:dyDescent="0.2">
      <c r="D263" s="40"/>
      <c r="E263" s="40"/>
      <c r="F263" s="40"/>
      <c r="G263" s="40"/>
      <c r="H263" s="40"/>
      <c r="I263" s="40"/>
      <c r="J263" s="39" t="s">
        <v>264</v>
      </c>
      <c r="K263" s="40"/>
      <c r="L263" s="40"/>
      <c r="M263" s="40"/>
      <c r="N263" s="40"/>
      <c r="O263" s="40"/>
      <c r="P263" s="40"/>
      <c r="Q263" s="40"/>
      <c r="R263" s="40"/>
      <c r="S263" s="40"/>
      <c r="T263" s="39">
        <v>205</v>
      </c>
      <c r="U263" s="40"/>
      <c r="V263" s="40"/>
      <c r="W263" s="40"/>
      <c r="X263" s="40"/>
      <c r="Y263" s="40"/>
      <c r="Z263" s="40"/>
      <c r="AA263" s="40"/>
      <c r="AB263" s="40"/>
      <c r="AC263" s="40"/>
      <c r="AD263" s="39">
        <v>61</v>
      </c>
      <c r="AE263" s="40"/>
      <c r="AF263" s="40"/>
      <c r="AG263" s="40"/>
      <c r="AH263" s="40"/>
      <c r="AI263" s="40"/>
      <c r="AJ263" s="40"/>
    </row>
    <row r="264" spans="3:36" ht="12.75" x14ac:dyDescent="0.2">
      <c r="E264" s="39">
        <v>3</v>
      </c>
      <c r="F264" s="40"/>
      <c r="G264" s="40"/>
      <c r="H264" s="40"/>
      <c r="I264" s="40"/>
      <c r="J264" s="39" t="s">
        <v>263</v>
      </c>
      <c r="K264" s="40"/>
      <c r="L264" s="40"/>
      <c r="M264" s="40"/>
      <c r="N264" s="40"/>
      <c r="O264" s="40"/>
      <c r="P264" s="40"/>
      <c r="Q264" s="40"/>
      <c r="R264" s="40"/>
      <c r="S264" s="40"/>
      <c r="T264" s="39">
        <v>250</v>
      </c>
      <c r="U264" s="40"/>
      <c r="V264" s="40"/>
      <c r="W264" s="40"/>
      <c r="X264" s="40"/>
      <c r="Y264" s="40"/>
      <c r="Z264" s="40"/>
      <c r="AA264" s="40"/>
      <c r="AB264" s="40"/>
      <c r="AC264" s="40"/>
      <c r="AD264" s="39">
        <v>80</v>
      </c>
      <c r="AE264" s="40"/>
      <c r="AF264" s="40"/>
      <c r="AG264" s="40"/>
      <c r="AH264" s="40"/>
      <c r="AI264" s="40"/>
      <c r="AJ264" s="40"/>
    </row>
    <row r="265" spans="3:36" ht="12.75" x14ac:dyDescent="0.2">
      <c r="D265" s="40"/>
      <c r="E265" s="40"/>
      <c r="F265" s="40"/>
      <c r="G265" s="40"/>
      <c r="H265" s="40"/>
      <c r="I265" s="40"/>
      <c r="J265" s="39" t="s">
        <v>264</v>
      </c>
      <c r="K265" s="40"/>
      <c r="L265" s="40"/>
      <c r="M265" s="40"/>
      <c r="N265" s="40"/>
      <c r="O265" s="40"/>
      <c r="P265" s="40"/>
      <c r="Q265" s="40"/>
      <c r="R265" s="40"/>
      <c r="S265" s="40"/>
      <c r="T265" s="39">
        <v>200</v>
      </c>
      <c r="U265" s="40"/>
      <c r="V265" s="40"/>
      <c r="W265" s="40"/>
      <c r="X265" s="40"/>
      <c r="Y265" s="40"/>
      <c r="Z265" s="40"/>
      <c r="AA265" s="40"/>
      <c r="AB265" s="40"/>
      <c r="AC265" s="40"/>
      <c r="AD265" s="39">
        <v>30</v>
      </c>
      <c r="AE265" s="40"/>
      <c r="AF265" s="40"/>
      <c r="AG265" s="40"/>
      <c r="AH265" s="40"/>
      <c r="AI265" s="40"/>
      <c r="AJ265" s="40"/>
    </row>
    <row r="266" spans="3:36" ht="12.75" x14ac:dyDescent="0.2">
      <c r="E266" s="39">
        <v>4</v>
      </c>
      <c r="F266" s="40"/>
      <c r="G266" s="40"/>
      <c r="H266" s="40"/>
      <c r="I266" s="40"/>
      <c r="J266" s="39" t="s">
        <v>263</v>
      </c>
      <c r="K266" s="40"/>
      <c r="L266" s="40"/>
      <c r="M266" s="40"/>
      <c r="N266" s="40"/>
      <c r="O266" s="40"/>
      <c r="P266" s="40"/>
      <c r="Q266" s="40"/>
      <c r="R266" s="40"/>
      <c r="S266" s="40"/>
      <c r="T266" s="39">
        <v>255</v>
      </c>
      <c r="U266" s="40"/>
      <c r="V266" s="40"/>
      <c r="W266" s="40"/>
      <c r="X266" s="40"/>
      <c r="Y266" s="40"/>
      <c r="Z266" s="40"/>
      <c r="AA266" s="40"/>
      <c r="AB266" s="40"/>
      <c r="AC266" s="40"/>
      <c r="AD266" s="39">
        <v>80</v>
      </c>
      <c r="AE266" s="40"/>
      <c r="AF266" s="40"/>
      <c r="AG266" s="40"/>
      <c r="AH266" s="40"/>
      <c r="AI266" s="40"/>
      <c r="AJ266" s="40"/>
    </row>
    <row r="267" spans="3:36" ht="12.75" x14ac:dyDescent="0.2">
      <c r="D267" s="40"/>
      <c r="E267" s="40"/>
      <c r="F267" s="40"/>
      <c r="G267" s="40"/>
      <c r="H267" s="40"/>
      <c r="I267" s="40"/>
      <c r="J267" s="39" t="s">
        <v>264</v>
      </c>
      <c r="K267" s="40"/>
      <c r="L267" s="40"/>
      <c r="M267" s="40"/>
      <c r="N267" s="40"/>
      <c r="O267" s="40"/>
      <c r="P267" s="40"/>
      <c r="Q267" s="40"/>
      <c r="R267" s="40"/>
      <c r="S267" s="40"/>
      <c r="T267" s="39">
        <v>310</v>
      </c>
      <c r="U267" s="40"/>
      <c r="V267" s="40"/>
      <c r="W267" s="40"/>
      <c r="X267" s="40"/>
      <c r="Y267" s="40"/>
      <c r="Z267" s="40"/>
      <c r="AA267" s="40"/>
      <c r="AB267" s="40"/>
      <c r="AC267" s="40"/>
      <c r="AD267" s="39">
        <v>90</v>
      </c>
      <c r="AE267" s="40"/>
      <c r="AF267" s="40"/>
      <c r="AG267" s="40"/>
      <c r="AH267" s="40"/>
      <c r="AI267" s="40"/>
      <c r="AJ267" s="40"/>
    </row>
    <row r="268" spans="3:36" ht="12.75" x14ac:dyDescent="0.2">
      <c r="E268" s="39">
        <v>5</v>
      </c>
      <c r="F268" s="40"/>
      <c r="G268" s="40"/>
      <c r="H268" s="40"/>
      <c r="I268" s="40"/>
      <c r="J268" s="39" t="s">
        <v>263</v>
      </c>
      <c r="K268" s="40"/>
      <c r="L268" s="40"/>
      <c r="M268" s="40"/>
      <c r="N268" s="40"/>
      <c r="O268" s="40"/>
      <c r="P268" s="40"/>
      <c r="Q268" s="40"/>
      <c r="R268" s="40"/>
      <c r="S268" s="40"/>
      <c r="T268" s="39">
        <v>260</v>
      </c>
      <c r="U268" s="40"/>
      <c r="V268" s="40"/>
      <c r="W268" s="40"/>
      <c r="X268" s="40"/>
      <c r="Y268" s="40"/>
      <c r="Z268" s="40"/>
      <c r="AA268" s="40"/>
      <c r="AB268" s="40"/>
      <c r="AC268" s="40"/>
      <c r="AD268" s="39">
        <v>80</v>
      </c>
      <c r="AE268" s="40"/>
      <c r="AF268" s="40"/>
      <c r="AG268" s="40"/>
      <c r="AH268" s="40"/>
      <c r="AI268" s="40"/>
      <c r="AJ268" s="40"/>
    </row>
    <row r="269" spans="3:36" ht="12.75" x14ac:dyDescent="0.2">
      <c r="D269" s="40"/>
      <c r="E269" s="40"/>
      <c r="F269" s="40"/>
      <c r="G269" s="40"/>
      <c r="H269" s="40"/>
      <c r="I269" s="40"/>
      <c r="J269" s="39" t="s">
        <v>264</v>
      </c>
      <c r="K269" s="40"/>
      <c r="L269" s="40"/>
      <c r="M269" s="40"/>
      <c r="N269" s="40"/>
      <c r="O269" s="40"/>
      <c r="P269" s="40"/>
      <c r="Q269" s="40"/>
      <c r="R269" s="40"/>
      <c r="S269" s="40"/>
      <c r="T269" s="39">
        <v>215</v>
      </c>
      <c r="U269" s="40"/>
      <c r="V269" s="40"/>
      <c r="W269" s="40"/>
      <c r="X269" s="40"/>
      <c r="Y269" s="40"/>
      <c r="Z269" s="40"/>
      <c r="AA269" s="40"/>
      <c r="AB269" s="40"/>
      <c r="AC269" s="40"/>
      <c r="AD269" s="39">
        <v>30</v>
      </c>
      <c r="AE269" s="40"/>
      <c r="AF269" s="40"/>
      <c r="AG269" s="40"/>
      <c r="AH269" s="40"/>
      <c r="AI269" s="40"/>
      <c r="AJ269" s="40"/>
    </row>
    <row r="270" spans="3:36" ht="12.75" x14ac:dyDescent="0.2">
      <c r="E270" s="39">
        <v>6</v>
      </c>
      <c r="F270" s="40"/>
      <c r="G270" s="40"/>
      <c r="H270" s="40"/>
      <c r="I270" s="40"/>
      <c r="J270" s="39" t="s">
        <v>263</v>
      </c>
      <c r="K270" s="40"/>
      <c r="L270" s="40"/>
      <c r="M270" s="40"/>
      <c r="N270" s="40"/>
      <c r="O270" s="40"/>
      <c r="P270" s="40"/>
      <c r="Q270" s="40"/>
      <c r="R270" s="40"/>
      <c r="S270" s="40"/>
      <c r="T270" s="39">
        <v>230</v>
      </c>
      <c r="U270" s="40"/>
      <c r="V270" s="40"/>
      <c r="W270" s="40"/>
      <c r="X270" s="40"/>
      <c r="Y270" s="40"/>
      <c r="Z270" s="40"/>
      <c r="AA270" s="40"/>
      <c r="AB270" s="40"/>
      <c r="AC270" s="40"/>
      <c r="AD270" s="39">
        <v>80</v>
      </c>
      <c r="AE270" s="40"/>
      <c r="AF270" s="40"/>
      <c r="AG270" s="40"/>
      <c r="AH270" s="40"/>
      <c r="AI270" s="40"/>
      <c r="AJ270" s="40"/>
    </row>
    <row r="271" spans="3:36" ht="12.75" x14ac:dyDescent="0.2">
      <c r="D271" s="40"/>
      <c r="E271" s="40"/>
      <c r="F271" s="40"/>
      <c r="G271" s="40"/>
      <c r="H271" s="40"/>
      <c r="I271" s="40"/>
      <c r="J271" s="39" t="s">
        <v>264</v>
      </c>
      <c r="K271" s="40"/>
      <c r="L271" s="40"/>
      <c r="M271" s="40"/>
      <c r="N271" s="40"/>
      <c r="O271" s="40"/>
      <c r="P271" s="40"/>
      <c r="Q271" s="40"/>
      <c r="R271" s="40"/>
      <c r="S271" s="40"/>
      <c r="T271" s="39">
        <v>175</v>
      </c>
      <c r="U271" s="40"/>
      <c r="V271" s="40"/>
      <c r="W271" s="40"/>
      <c r="X271" s="40"/>
      <c r="Y271" s="40"/>
      <c r="Z271" s="40"/>
      <c r="AA271" s="40"/>
      <c r="AB271" s="40"/>
      <c r="AC271" s="40"/>
      <c r="AD271" s="39">
        <v>20</v>
      </c>
      <c r="AE271" s="40"/>
      <c r="AF271" s="40"/>
      <c r="AG271" s="40"/>
      <c r="AH271" s="40"/>
      <c r="AI271" s="40"/>
      <c r="AJ271" s="40"/>
    </row>
    <row r="272" spans="3:36" ht="12.75" x14ac:dyDescent="0.2">
      <c r="E272" s="39">
        <v>7</v>
      </c>
      <c r="F272" s="40"/>
      <c r="G272" s="40"/>
      <c r="H272" s="40"/>
      <c r="I272" s="40"/>
      <c r="J272" s="39" t="s">
        <v>263</v>
      </c>
      <c r="K272" s="40"/>
      <c r="L272" s="40"/>
      <c r="M272" s="40"/>
      <c r="N272" s="40"/>
      <c r="O272" s="40"/>
      <c r="P272" s="40"/>
      <c r="Q272" s="40"/>
      <c r="R272" s="40"/>
      <c r="S272" s="40"/>
      <c r="T272" s="39">
        <v>255</v>
      </c>
      <c r="U272" s="40"/>
      <c r="V272" s="40"/>
      <c r="W272" s="40"/>
      <c r="X272" s="40"/>
      <c r="Y272" s="40"/>
      <c r="Z272" s="40"/>
      <c r="AA272" s="40"/>
      <c r="AB272" s="40"/>
      <c r="AC272" s="40"/>
      <c r="AD272" s="39">
        <v>80</v>
      </c>
      <c r="AE272" s="40"/>
      <c r="AF272" s="40"/>
      <c r="AG272" s="40"/>
      <c r="AH272" s="40"/>
      <c r="AI272" s="40"/>
      <c r="AJ272" s="40"/>
    </row>
    <row r="273" spans="3:36" ht="12.75" x14ac:dyDescent="0.2">
      <c r="D273" s="40"/>
      <c r="E273" s="40"/>
      <c r="F273" s="40"/>
      <c r="G273" s="40"/>
      <c r="H273" s="40"/>
      <c r="I273" s="40"/>
      <c r="J273" s="39" t="s">
        <v>264</v>
      </c>
      <c r="K273" s="40"/>
      <c r="L273" s="40"/>
      <c r="M273" s="40"/>
      <c r="N273" s="40"/>
      <c r="O273" s="40"/>
      <c r="P273" s="40"/>
      <c r="Q273" s="40"/>
      <c r="R273" s="40"/>
      <c r="S273" s="40"/>
      <c r="T273" s="39">
        <v>200</v>
      </c>
      <c r="U273" s="40"/>
      <c r="V273" s="40"/>
      <c r="W273" s="40"/>
      <c r="X273" s="40"/>
      <c r="Y273" s="40"/>
      <c r="Z273" s="40"/>
      <c r="AA273" s="40"/>
      <c r="AB273" s="40"/>
      <c r="AC273" s="40"/>
      <c r="AD273" s="39">
        <v>30</v>
      </c>
      <c r="AE273" s="40"/>
      <c r="AF273" s="40"/>
      <c r="AG273" s="40"/>
      <c r="AH273" s="40"/>
      <c r="AI273" s="40"/>
      <c r="AJ273" s="40"/>
    </row>
    <row r="275" spans="3:36" ht="12.75" x14ac:dyDescent="0.2">
      <c r="C275" s="22">
        <v>6</v>
      </c>
      <c r="D275" s="41" t="s">
        <v>261</v>
      </c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1" t="s">
        <v>6</v>
      </c>
      <c r="Y275" s="40"/>
      <c r="Z275" s="40"/>
      <c r="AA275" s="40"/>
      <c r="AB275" s="40"/>
      <c r="AC275" s="40"/>
      <c r="AD275" s="41" t="s">
        <v>262</v>
      </c>
      <c r="AE275" s="40"/>
      <c r="AF275" s="40"/>
      <c r="AG275" s="40"/>
      <c r="AH275" s="40"/>
    </row>
    <row r="277" spans="3:36" ht="12.75" x14ac:dyDescent="0.2">
      <c r="E277" s="39">
        <v>1</v>
      </c>
      <c r="F277" s="40"/>
      <c r="G277" s="40"/>
      <c r="H277" s="40"/>
      <c r="I277" s="40"/>
      <c r="J277" s="39" t="s">
        <v>263</v>
      </c>
      <c r="K277" s="40"/>
      <c r="L277" s="40"/>
      <c r="M277" s="40"/>
      <c r="N277" s="40"/>
      <c r="O277" s="40"/>
      <c r="P277" s="40"/>
      <c r="Q277" s="40"/>
      <c r="R277" s="40"/>
      <c r="S277" s="40"/>
      <c r="T277" s="39">
        <v>275</v>
      </c>
      <c r="U277" s="40"/>
      <c r="V277" s="40"/>
      <c r="W277" s="40"/>
      <c r="X277" s="40"/>
      <c r="Y277" s="40"/>
      <c r="Z277" s="40"/>
      <c r="AA277" s="40"/>
      <c r="AB277" s="40"/>
      <c r="AC277" s="40"/>
      <c r="AD277" s="39">
        <v>80</v>
      </c>
      <c r="AE277" s="40"/>
      <c r="AF277" s="40"/>
      <c r="AG277" s="40"/>
      <c r="AH277" s="40"/>
      <c r="AI277" s="40"/>
      <c r="AJ277" s="40"/>
    </row>
    <row r="278" spans="3:36" ht="12.75" x14ac:dyDescent="0.2">
      <c r="D278" s="40"/>
      <c r="E278" s="40"/>
      <c r="F278" s="40"/>
      <c r="G278" s="40"/>
      <c r="H278" s="40"/>
      <c r="I278" s="40"/>
      <c r="J278" s="39" t="s">
        <v>264</v>
      </c>
      <c r="K278" s="40"/>
      <c r="L278" s="40"/>
      <c r="M278" s="40"/>
      <c r="N278" s="40"/>
      <c r="O278" s="40"/>
      <c r="P278" s="40"/>
      <c r="Q278" s="40"/>
      <c r="R278" s="40"/>
      <c r="S278" s="40"/>
      <c r="T278" s="39">
        <v>200</v>
      </c>
      <c r="U278" s="40"/>
      <c r="V278" s="40"/>
      <c r="W278" s="40"/>
      <c r="X278" s="40"/>
      <c r="Y278" s="40"/>
      <c r="Z278" s="40"/>
      <c r="AA278" s="40"/>
      <c r="AB278" s="40"/>
      <c r="AC278" s="40"/>
      <c r="AD278" s="39">
        <v>19</v>
      </c>
      <c r="AE278" s="40"/>
      <c r="AF278" s="40"/>
      <c r="AG278" s="40"/>
      <c r="AH278" s="40"/>
      <c r="AI278" s="40"/>
      <c r="AJ278" s="40"/>
    </row>
    <row r="279" spans="3:36" ht="12.75" x14ac:dyDescent="0.2">
      <c r="E279" s="39">
        <v>2</v>
      </c>
      <c r="F279" s="40"/>
      <c r="G279" s="40"/>
      <c r="H279" s="40"/>
      <c r="I279" s="40"/>
      <c r="J279" s="39" t="s">
        <v>263</v>
      </c>
      <c r="K279" s="40"/>
      <c r="L279" s="40"/>
      <c r="M279" s="40"/>
      <c r="N279" s="40"/>
      <c r="O279" s="40"/>
      <c r="P279" s="40"/>
      <c r="Q279" s="40"/>
      <c r="R279" s="40"/>
      <c r="S279" s="40"/>
      <c r="T279" s="39">
        <v>275</v>
      </c>
      <c r="U279" s="40"/>
      <c r="V279" s="40"/>
      <c r="W279" s="40"/>
      <c r="X279" s="40"/>
      <c r="Y279" s="40"/>
      <c r="Z279" s="40"/>
      <c r="AA279" s="40"/>
      <c r="AB279" s="40"/>
      <c r="AC279" s="40"/>
      <c r="AD279" s="39">
        <v>80</v>
      </c>
      <c r="AE279" s="40"/>
      <c r="AF279" s="40"/>
      <c r="AG279" s="40"/>
      <c r="AH279" s="40"/>
      <c r="AI279" s="40"/>
      <c r="AJ279" s="40"/>
    </row>
    <row r="280" spans="3:36" ht="12.75" x14ac:dyDescent="0.2">
      <c r="D280" s="40"/>
      <c r="E280" s="40"/>
      <c r="F280" s="40"/>
      <c r="G280" s="40"/>
      <c r="H280" s="40"/>
      <c r="I280" s="40"/>
      <c r="J280" s="39" t="s">
        <v>264</v>
      </c>
      <c r="K280" s="40"/>
      <c r="L280" s="40"/>
      <c r="M280" s="40"/>
      <c r="N280" s="40"/>
      <c r="O280" s="40"/>
      <c r="P280" s="40"/>
      <c r="Q280" s="40"/>
      <c r="R280" s="40"/>
      <c r="S280" s="40"/>
      <c r="T280" s="39">
        <v>255</v>
      </c>
      <c r="U280" s="40"/>
      <c r="V280" s="40"/>
      <c r="W280" s="40"/>
      <c r="X280" s="40"/>
      <c r="Y280" s="40"/>
      <c r="Z280" s="40"/>
      <c r="AA280" s="40"/>
      <c r="AB280" s="40"/>
      <c r="AC280" s="40"/>
      <c r="AD280" s="39">
        <v>61</v>
      </c>
      <c r="AE280" s="40"/>
      <c r="AF280" s="40"/>
      <c r="AG280" s="40"/>
      <c r="AH280" s="40"/>
      <c r="AI280" s="40"/>
      <c r="AJ280" s="40"/>
    </row>
    <row r="281" spans="3:36" ht="12.75" x14ac:dyDescent="0.2">
      <c r="E281" s="39">
        <v>3</v>
      </c>
      <c r="F281" s="40"/>
      <c r="G281" s="40"/>
      <c r="H281" s="40"/>
      <c r="I281" s="40"/>
      <c r="J281" s="39" t="s">
        <v>263</v>
      </c>
      <c r="K281" s="40"/>
      <c r="L281" s="40"/>
      <c r="M281" s="40"/>
      <c r="N281" s="40"/>
      <c r="O281" s="40"/>
      <c r="P281" s="40"/>
      <c r="Q281" s="40"/>
      <c r="R281" s="40"/>
      <c r="S281" s="40"/>
      <c r="T281" s="39">
        <v>260</v>
      </c>
      <c r="U281" s="40"/>
      <c r="V281" s="40"/>
      <c r="W281" s="40"/>
      <c r="X281" s="40"/>
      <c r="Y281" s="40"/>
      <c r="Z281" s="40"/>
      <c r="AA281" s="40"/>
      <c r="AB281" s="40"/>
      <c r="AC281" s="40"/>
      <c r="AD281" s="39">
        <v>80</v>
      </c>
      <c r="AE281" s="40"/>
      <c r="AF281" s="40"/>
      <c r="AG281" s="40"/>
      <c r="AH281" s="40"/>
      <c r="AI281" s="40"/>
      <c r="AJ281" s="40"/>
    </row>
    <row r="282" spans="3:36" ht="12.75" x14ac:dyDescent="0.2">
      <c r="D282" s="40"/>
      <c r="E282" s="40"/>
      <c r="F282" s="40"/>
      <c r="G282" s="40"/>
      <c r="H282" s="40"/>
      <c r="I282" s="40"/>
      <c r="J282" s="39" t="s">
        <v>264</v>
      </c>
      <c r="K282" s="40"/>
      <c r="L282" s="40"/>
      <c r="M282" s="40"/>
      <c r="N282" s="40"/>
      <c r="O282" s="40"/>
      <c r="P282" s="40"/>
      <c r="Q282" s="40"/>
      <c r="R282" s="40"/>
      <c r="S282" s="40"/>
      <c r="T282" s="39">
        <v>210</v>
      </c>
      <c r="U282" s="40"/>
      <c r="V282" s="40"/>
      <c r="W282" s="40"/>
      <c r="X282" s="40"/>
      <c r="Y282" s="40"/>
      <c r="Z282" s="40"/>
      <c r="AA282" s="40"/>
      <c r="AB282" s="40"/>
      <c r="AC282" s="40"/>
      <c r="AD282" s="39">
        <v>30</v>
      </c>
      <c r="AE282" s="40"/>
      <c r="AF282" s="40"/>
      <c r="AG282" s="40"/>
      <c r="AH282" s="40"/>
      <c r="AI282" s="40"/>
      <c r="AJ282" s="40"/>
    </row>
    <row r="283" spans="3:36" ht="12.75" x14ac:dyDescent="0.2">
      <c r="E283" s="39">
        <v>4</v>
      </c>
      <c r="F283" s="40"/>
      <c r="G283" s="40"/>
      <c r="H283" s="40"/>
      <c r="I283" s="40"/>
      <c r="J283" s="39" t="s">
        <v>263</v>
      </c>
      <c r="K283" s="40"/>
      <c r="L283" s="40"/>
      <c r="M283" s="40"/>
      <c r="N283" s="40"/>
      <c r="O283" s="40"/>
      <c r="P283" s="40"/>
      <c r="Q283" s="40"/>
      <c r="R283" s="40"/>
      <c r="S283" s="40"/>
      <c r="T283" s="39">
        <v>263</v>
      </c>
      <c r="U283" s="40"/>
      <c r="V283" s="40"/>
      <c r="W283" s="40"/>
      <c r="X283" s="40"/>
      <c r="Y283" s="40"/>
      <c r="Z283" s="40"/>
      <c r="AA283" s="40"/>
      <c r="AB283" s="40"/>
      <c r="AC283" s="40"/>
      <c r="AD283" s="39">
        <v>80</v>
      </c>
      <c r="AE283" s="40"/>
      <c r="AF283" s="40"/>
      <c r="AG283" s="40"/>
      <c r="AH283" s="40"/>
      <c r="AI283" s="40"/>
      <c r="AJ283" s="40"/>
    </row>
    <row r="284" spans="3:36" ht="12.75" x14ac:dyDescent="0.2">
      <c r="D284" s="40"/>
      <c r="E284" s="40"/>
      <c r="F284" s="40"/>
      <c r="G284" s="40"/>
      <c r="H284" s="40"/>
      <c r="I284" s="40"/>
      <c r="J284" s="39" t="s">
        <v>264</v>
      </c>
      <c r="K284" s="40"/>
      <c r="L284" s="40"/>
      <c r="M284" s="40"/>
      <c r="N284" s="40"/>
      <c r="O284" s="40"/>
      <c r="P284" s="40"/>
      <c r="Q284" s="40"/>
      <c r="R284" s="40"/>
      <c r="S284" s="40"/>
      <c r="T284" s="39">
        <v>313</v>
      </c>
      <c r="U284" s="40"/>
      <c r="V284" s="40"/>
      <c r="W284" s="40"/>
      <c r="X284" s="40"/>
      <c r="Y284" s="40"/>
      <c r="Z284" s="40"/>
      <c r="AA284" s="40"/>
      <c r="AB284" s="40"/>
      <c r="AC284" s="40"/>
      <c r="AD284" s="39">
        <v>90</v>
      </c>
      <c r="AE284" s="40"/>
      <c r="AF284" s="40"/>
      <c r="AG284" s="40"/>
      <c r="AH284" s="40"/>
      <c r="AI284" s="40"/>
      <c r="AJ284" s="40"/>
    </row>
    <row r="285" spans="3:36" ht="12.75" x14ac:dyDescent="0.2">
      <c r="E285" s="39">
        <v>5</v>
      </c>
      <c r="F285" s="40"/>
      <c r="G285" s="40"/>
      <c r="H285" s="40"/>
      <c r="I285" s="40"/>
      <c r="J285" s="39" t="s">
        <v>263</v>
      </c>
      <c r="K285" s="40"/>
      <c r="L285" s="40"/>
      <c r="M285" s="40"/>
      <c r="N285" s="40"/>
      <c r="O285" s="40"/>
      <c r="P285" s="40"/>
      <c r="Q285" s="40"/>
      <c r="R285" s="40"/>
      <c r="S285" s="40"/>
      <c r="T285" s="39">
        <v>240</v>
      </c>
      <c r="U285" s="40"/>
      <c r="V285" s="40"/>
      <c r="W285" s="40"/>
      <c r="X285" s="40"/>
      <c r="Y285" s="40"/>
      <c r="Z285" s="40"/>
      <c r="AA285" s="40"/>
      <c r="AB285" s="40"/>
      <c r="AC285" s="40"/>
      <c r="AD285" s="39">
        <v>80</v>
      </c>
      <c r="AE285" s="40"/>
      <c r="AF285" s="40"/>
      <c r="AG285" s="40"/>
      <c r="AH285" s="40"/>
      <c r="AI285" s="40"/>
      <c r="AJ285" s="40"/>
    </row>
    <row r="286" spans="3:36" ht="12.75" x14ac:dyDescent="0.2">
      <c r="D286" s="40"/>
      <c r="E286" s="40"/>
      <c r="F286" s="40"/>
      <c r="G286" s="40"/>
      <c r="H286" s="40"/>
      <c r="I286" s="40"/>
      <c r="J286" s="39" t="s">
        <v>264</v>
      </c>
      <c r="K286" s="40"/>
      <c r="L286" s="40"/>
      <c r="M286" s="40"/>
      <c r="N286" s="40"/>
      <c r="O286" s="40"/>
      <c r="P286" s="40"/>
      <c r="Q286" s="40"/>
      <c r="R286" s="40"/>
      <c r="S286" s="40"/>
      <c r="T286" s="39">
        <v>195</v>
      </c>
      <c r="U286" s="40"/>
      <c r="V286" s="40"/>
      <c r="W286" s="40"/>
      <c r="X286" s="40"/>
      <c r="Y286" s="40"/>
      <c r="Z286" s="40"/>
      <c r="AA286" s="40"/>
      <c r="AB286" s="40"/>
      <c r="AC286" s="40"/>
      <c r="AD286" s="39">
        <v>30</v>
      </c>
      <c r="AE286" s="40"/>
      <c r="AF286" s="40"/>
      <c r="AG286" s="40"/>
      <c r="AH286" s="40"/>
      <c r="AI286" s="40"/>
      <c r="AJ286" s="40"/>
    </row>
    <row r="287" spans="3:36" ht="12.75" x14ac:dyDescent="0.2">
      <c r="E287" s="39">
        <v>6</v>
      </c>
      <c r="F287" s="40"/>
      <c r="G287" s="40"/>
      <c r="H287" s="40"/>
      <c r="I287" s="40"/>
      <c r="J287" s="39" t="s">
        <v>263</v>
      </c>
      <c r="K287" s="40"/>
      <c r="L287" s="40"/>
      <c r="M287" s="40"/>
      <c r="N287" s="40"/>
      <c r="O287" s="40"/>
      <c r="P287" s="40"/>
      <c r="Q287" s="40"/>
      <c r="R287" s="40"/>
      <c r="S287" s="40"/>
      <c r="T287" s="39">
        <v>250</v>
      </c>
      <c r="U287" s="40"/>
      <c r="V287" s="40"/>
      <c r="W287" s="40"/>
      <c r="X287" s="40"/>
      <c r="Y287" s="40"/>
      <c r="Z287" s="40"/>
      <c r="AA287" s="40"/>
      <c r="AB287" s="40"/>
      <c r="AC287" s="40"/>
      <c r="AD287" s="39">
        <v>80</v>
      </c>
      <c r="AE287" s="40"/>
      <c r="AF287" s="40"/>
      <c r="AG287" s="40"/>
      <c r="AH287" s="40"/>
      <c r="AI287" s="40"/>
      <c r="AJ287" s="40"/>
    </row>
    <row r="288" spans="3:36" ht="12.75" x14ac:dyDescent="0.2">
      <c r="D288" s="40"/>
      <c r="E288" s="40"/>
      <c r="F288" s="40"/>
      <c r="G288" s="40"/>
      <c r="H288" s="40"/>
      <c r="I288" s="40"/>
      <c r="J288" s="39" t="s">
        <v>264</v>
      </c>
      <c r="K288" s="40"/>
      <c r="L288" s="40"/>
      <c r="M288" s="40"/>
      <c r="N288" s="40"/>
      <c r="O288" s="40"/>
      <c r="P288" s="40"/>
      <c r="Q288" s="40"/>
      <c r="R288" s="40"/>
      <c r="S288" s="40"/>
      <c r="T288" s="39">
        <v>190</v>
      </c>
      <c r="U288" s="40"/>
      <c r="V288" s="40"/>
      <c r="W288" s="40"/>
      <c r="X288" s="40"/>
      <c r="Y288" s="40"/>
      <c r="Z288" s="40"/>
      <c r="AA288" s="40"/>
      <c r="AB288" s="40"/>
      <c r="AC288" s="40"/>
      <c r="AD288" s="39">
        <v>20</v>
      </c>
      <c r="AE288" s="40"/>
      <c r="AF288" s="40"/>
      <c r="AG288" s="40"/>
      <c r="AH288" s="40"/>
      <c r="AI288" s="40"/>
      <c r="AJ288" s="40"/>
    </row>
    <row r="289" spans="2:36" ht="12.75" x14ac:dyDescent="0.2">
      <c r="E289" s="39">
        <v>7</v>
      </c>
      <c r="F289" s="40"/>
      <c r="G289" s="40"/>
      <c r="H289" s="40"/>
      <c r="I289" s="40"/>
      <c r="J289" s="39" t="s">
        <v>263</v>
      </c>
      <c r="K289" s="40"/>
      <c r="L289" s="40"/>
      <c r="M289" s="40"/>
      <c r="N289" s="40"/>
      <c r="O289" s="40"/>
      <c r="P289" s="40"/>
      <c r="Q289" s="40"/>
      <c r="R289" s="40"/>
      <c r="S289" s="40"/>
      <c r="T289" s="39">
        <v>255</v>
      </c>
      <c r="U289" s="40"/>
      <c r="V289" s="40"/>
      <c r="W289" s="40"/>
      <c r="X289" s="40"/>
      <c r="Y289" s="40"/>
      <c r="Z289" s="40"/>
      <c r="AA289" s="40"/>
      <c r="AB289" s="40"/>
      <c r="AC289" s="40"/>
      <c r="AD289" s="39">
        <v>80</v>
      </c>
      <c r="AE289" s="40"/>
      <c r="AF289" s="40"/>
      <c r="AG289" s="40"/>
      <c r="AH289" s="40"/>
      <c r="AI289" s="40"/>
      <c r="AJ289" s="40"/>
    </row>
    <row r="290" spans="2:36" ht="12.75" x14ac:dyDescent="0.2">
      <c r="D290" s="40"/>
      <c r="E290" s="40"/>
      <c r="F290" s="40"/>
      <c r="G290" s="40"/>
      <c r="H290" s="40"/>
      <c r="I290" s="40"/>
      <c r="J290" s="39" t="s">
        <v>264</v>
      </c>
      <c r="K290" s="40"/>
      <c r="L290" s="40"/>
      <c r="M290" s="40"/>
      <c r="N290" s="40"/>
      <c r="O290" s="40"/>
      <c r="P290" s="40"/>
      <c r="Q290" s="40"/>
      <c r="R290" s="40"/>
      <c r="S290" s="40"/>
      <c r="T290" s="39">
        <v>200</v>
      </c>
      <c r="U290" s="40"/>
      <c r="V290" s="40"/>
      <c r="W290" s="40"/>
      <c r="X290" s="40"/>
      <c r="Y290" s="40"/>
      <c r="Z290" s="40"/>
      <c r="AA290" s="40"/>
      <c r="AB290" s="40"/>
      <c r="AC290" s="40"/>
      <c r="AD290" s="39">
        <v>30</v>
      </c>
      <c r="AE290" s="40"/>
      <c r="AF290" s="40"/>
      <c r="AG290" s="40"/>
      <c r="AH290" s="40"/>
      <c r="AI290" s="40"/>
      <c r="AJ290" s="40"/>
    </row>
    <row r="292" spans="2:36" ht="30" x14ac:dyDescent="0.4">
      <c r="B292" s="6" t="s">
        <v>266</v>
      </c>
      <c r="C292" s="22">
        <v>2</v>
      </c>
      <c r="D292" s="41" t="s">
        <v>261</v>
      </c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1" t="s">
        <v>6</v>
      </c>
      <c r="Y292" s="40"/>
      <c r="Z292" s="40"/>
      <c r="AA292" s="40"/>
      <c r="AB292" s="40"/>
      <c r="AC292" s="40"/>
      <c r="AD292" s="41" t="s">
        <v>262</v>
      </c>
      <c r="AE292" s="40"/>
      <c r="AF292" s="40"/>
      <c r="AG292" s="40"/>
      <c r="AH292" s="40"/>
    </row>
    <row r="294" spans="2:36" ht="12.75" x14ac:dyDescent="0.2">
      <c r="E294" s="39">
        <v>1</v>
      </c>
      <c r="F294" s="40"/>
      <c r="G294" s="40"/>
      <c r="H294" s="40"/>
      <c r="I294" s="40"/>
      <c r="J294" s="39" t="s">
        <v>25</v>
      </c>
      <c r="K294" s="40"/>
      <c r="L294" s="40"/>
      <c r="M294" s="40"/>
      <c r="N294" s="40"/>
      <c r="O294" s="40"/>
      <c r="P294" s="40"/>
      <c r="Q294" s="40"/>
      <c r="R294" s="40"/>
      <c r="S294" s="40"/>
      <c r="T294" s="39">
        <v>120</v>
      </c>
      <c r="U294" s="40"/>
      <c r="V294" s="40"/>
      <c r="W294" s="40"/>
      <c r="X294" s="40"/>
      <c r="Y294" s="40"/>
      <c r="Z294" s="40"/>
      <c r="AA294" s="40"/>
      <c r="AB294" s="40"/>
      <c r="AC294" s="40"/>
      <c r="AD294" s="39">
        <v>50</v>
      </c>
      <c r="AE294" s="40"/>
      <c r="AF294" s="40"/>
      <c r="AG294" s="40"/>
      <c r="AH294" s="40"/>
      <c r="AI294" s="40"/>
      <c r="AJ294" s="40"/>
    </row>
    <row r="295" spans="2:36" ht="12.75" x14ac:dyDescent="0.2">
      <c r="E295" s="39">
        <v>2</v>
      </c>
      <c r="F295" s="40"/>
      <c r="G295" s="40"/>
      <c r="H295" s="40"/>
      <c r="I295" s="40"/>
      <c r="J295" s="39" t="s">
        <v>25</v>
      </c>
      <c r="K295" s="40"/>
      <c r="L295" s="40"/>
      <c r="M295" s="40"/>
      <c r="N295" s="40"/>
      <c r="O295" s="40"/>
      <c r="P295" s="40"/>
      <c r="Q295" s="40"/>
      <c r="R295" s="40"/>
      <c r="S295" s="40"/>
      <c r="T295" s="39" t="s">
        <v>265</v>
      </c>
      <c r="U295" s="40"/>
      <c r="V295" s="40"/>
      <c r="W295" s="40"/>
      <c r="X295" s="40"/>
      <c r="Y295" s="40"/>
      <c r="Z295" s="40"/>
      <c r="AA295" s="40"/>
      <c r="AB295" s="40"/>
      <c r="AC295" s="40"/>
      <c r="AD295" s="39" t="s">
        <v>265</v>
      </c>
      <c r="AE295" s="40"/>
      <c r="AF295" s="40"/>
      <c r="AG295" s="40"/>
      <c r="AH295" s="40"/>
      <c r="AI295" s="40"/>
      <c r="AJ295" s="40"/>
    </row>
    <row r="296" spans="2:36" ht="12.75" x14ac:dyDescent="0.2">
      <c r="E296" s="39">
        <v>3</v>
      </c>
      <c r="F296" s="40"/>
      <c r="G296" s="40"/>
      <c r="H296" s="40"/>
      <c r="I296" s="40"/>
      <c r="J296" s="39" t="s">
        <v>25</v>
      </c>
      <c r="K296" s="40"/>
      <c r="L296" s="40"/>
      <c r="M296" s="40"/>
      <c r="N296" s="40"/>
      <c r="O296" s="40"/>
      <c r="P296" s="40"/>
      <c r="Q296" s="40"/>
      <c r="R296" s="40"/>
      <c r="S296" s="40"/>
      <c r="T296" s="39">
        <v>80</v>
      </c>
      <c r="U296" s="40"/>
      <c r="V296" s="40"/>
      <c r="W296" s="40"/>
      <c r="X296" s="40"/>
      <c r="Y296" s="40"/>
      <c r="Z296" s="40"/>
      <c r="AA296" s="40"/>
      <c r="AB296" s="40"/>
      <c r="AC296" s="40"/>
      <c r="AD296" s="39">
        <v>50</v>
      </c>
      <c r="AE296" s="40"/>
      <c r="AF296" s="40"/>
      <c r="AG296" s="40"/>
      <c r="AH296" s="40"/>
      <c r="AI296" s="40"/>
      <c r="AJ296" s="40"/>
    </row>
    <row r="297" spans="2:36" ht="12.75" x14ac:dyDescent="0.2">
      <c r="E297" s="39">
        <v>4</v>
      </c>
      <c r="F297" s="40"/>
      <c r="G297" s="40"/>
      <c r="H297" s="40"/>
      <c r="I297" s="40"/>
      <c r="J297" s="39" t="s">
        <v>25</v>
      </c>
      <c r="K297" s="40"/>
      <c r="L297" s="40"/>
      <c r="M297" s="40"/>
      <c r="N297" s="40"/>
      <c r="O297" s="40"/>
      <c r="P297" s="40"/>
      <c r="Q297" s="40"/>
      <c r="R297" s="40"/>
      <c r="S297" s="40"/>
      <c r="T297" s="39" t="s">
        <v>265</v>
      </c>
      <c r="U297" s="40"/>
      <c r="V297" s="40"/>
      <c r="W297" s="40"/>
      <c r="X297" s="40"/>
      <c r="Y297" s="40"/>
      <c r="Z297" s="40"/>
      <c r="AA297" s="40"/>
      <c r="AB297" s="40"/>
      <c r="AC297" s="40"/>
      <c r="AD297" s="39" t="s">
        <v>265</v>
      </c>
      <c r="AE297" s="40"/>
      <c r="AF297" s="40"/>
      <c r="AG297" s="40"/>
      <c r="AH297" s="40"/>
      <c r="AI297" s="40"/>
      <c r="AJ297" s="40"/>
    </row>
    <row r="298" spans="2:36" ht="12.75" x14ac:dyDescent="0.2">
      <c r="E298" s="39">
        <v>5</v>
      </c>
      <c r="F298" s="40"/>
      <c r="G298" s="40"/>
      <c r="H298" s="40"/>
      <c r="I298" s="40"/>
      <c r="J298" s="39" t="s">
        <v>25</v>
      </c>
      <c r="K298" s="40"/>
      <c r="L298" s="40"/>
      <c r="M298" s="40"/>
      <c r="N298" s="40"/>
      <c r="O298" s="40"/>
      <c r="P298" s="40"/>
      <c r="Q298" s="40"/>
      <c r="R298" s="40"/>
      <c r="S298" s="40"/>
      <c r="T298" s="39" t="s">
        <v>265</v>
      </c>
      <c r="U298" s="40"/>
      <c r="V298" s="40"/>
      <c r="W298" s="40"/>
      <c r="X298" s="40"/>
      <c r="Y298" s="40"/>
      <c r="Z298" s="40"/>
      <c r="AA298" s="40"/>
      <c r="AB298" s="40"/>
      <c r="AC298" s="40"/>
      <c r="AD298" s="39" t="s">
        <v>265</v>
      </c>
      <c r="AE298" s="40"/>
      <c r="AF298" s="40"/>
      <c r="AG298" s="40"/>
      <c r="AH298" s="40"/>
      <c r="AI298" s="40"/>
      <c r="AJ298" s="40"/>
    </row>
    <row r="299" spans="2:36" ht="12.75" x14ac:dyDescent="0.2">
      <c r="E299" s="39">
        <v>6</v>
      </c>
      <c r="F299" s="40"/>
      <c r="G299" s="40"/>
      <c r="H299" s="40"/>
      <c r="I299" s="40"/>
      <c r="J299" s="39" t="s">
        <v>25</v>
      </c>
      <c r="K299" s="40"/>
      <c r="L299" s="40"/>
      <c r="M299" s="40"/>
      <c r="N299" s="40"/>
      <c r="O299" s="40"/>
      <c r="P299" s="40"/>
      <c r="Q299" s="40"/>
      <c r="R299" s="40"/>
      <c r="S299" s="40"/>
      <c r="T299" s="39">
        <v>180</v>
      </c>
      <c r="U299" s="40"/>
      <c r="V299" s="40"/>
      <c r="W299" s="40"/>
      <c r="X299" s="40"/>
      <c r="Y299" s="40"/>
      <c r="Z299" s="40"/>
      <c r="AA299" s="40"/>
      <c r="AB299" s="40"/>
      <c r="AC299" s="40"/>
      <c r="AD299" s="39">
        <v>50</v>
      </c>
      <c r="AE299" s="40"/>
      <c r="AF299" s="40"/>
      <c r="AG299" s="40"/>
      <c r="AH299" s="40"/>
      <c r="AI299" s="40"/>
      <c r="AJ299" s="40"/>
    </row>
    <row r="300" spans="2:36" ht="12.75" x14ac:dyDescent="0.2">
      <c r="E300" s="39">
        <v>7</v>
      </c>
      <c r="F300" s="40"/>
      <c r="G300" s="40"/>
      <c r="H300" s="40"/>
      <c r="I300" s="40"/>
      <c r="J300" s="39" t="s">
        <v>25</v>
      </c>
      <c r="K300" s="40"/>
      <c r="L300" s="40"/>
      <c r="M300" s="40"/>
      <c r="N300" s="40"/>
      <c r="O300" s="40"/>
      <c r="P300" s="40"/>
      <c r="Q300" s="40"/>
      <c r="R300" s="40"/>
      <c r="S300" s="40"/>
      <c r="T300" s="39" t="s">
        <v>265</v>
      </c>
      <c r="U300" s="40"/>
      <c r="V300" s="40"/>
      <c r="W300" s="40"/>
      <c r="X300" s="40"/>
      <c r="Y300" s="40"/>
      <c r="Z300" s="40"/>
      <c r="AA300" s="40"/>
      <c r="AB300" s="40"/>
      <c r="AC300" s="40"/>
      <c r="AD300" s="39" t="s">
        <v>265</v>
      </c>
      <c r="AE300" s="40"/>
      <c r="AF300" s="40"/>
      <c r="AG300" s="40"/>
      <c r="AH300" s="40"/>
      <c r="AI300" s="40"/>
      <c r="AJ300" s="40"/>
    </row>
    <row r="302" spans="2:36" ht="12.75" x14ac:dyDescent="0.2">
      <c r="C302" s="22">
        <v>3</v>
      </c>
      <c r="D302" s="41" t="s">
        <v>261</v>
      </c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1" t="s">
        <v>6</v>
      </c>
      <c r="Y302" s="40"/>
      <c r="Z302" s="40"/>
      <c r="AA302" s="40"/>
      <c r="AB302" s="40"/>
      <c r="AC302" s="40"/>
      <c r="AD302" s="41" t="s">
        <v>262</v>
      </c>
      <c r="AE302" s="40"/>
      <c r="AF302" s="40"/>
      <c r="AG302" s="40"/>
      <c r="AH302" s="40"/>
    </row>
    <row r="304" spans="2:36" ht="12.75" x14ac:dyDescent="0.2">
      <c r="E304" s="39">
        <v>1</v>
      </c>
      <c r="F304" s="40"/>
      <c r="G304" s="40"/>
      <c r="H304" s="40"/>
      <c r="I304" s="40"/>
      <c r="J304" s="39" t="s">
        <v>25</v>
      </c>
      <c r="K304" s="40"/>
      <c r="L304" s="40"/>
      <c r="M304" s="40"/>
      <c r="N304" s="40"/>
      <c r="O304" s="40"/>
      <c r="P304" s="40"/>
      <c r="Q304" s="40"/>
      <c r="R304" s="40"/>
      <c r="S304" s="40"/>
      <c r="T304" s="39">
        <v>130</v>
      </c>
      <c r="U304" s="40"/>
      <c r="V304" s="40"/>
      <c r="W304" s="40"/>
      <c r="X304" s="40"/>
      <c r="Y304" s="40"/>
      <c r="Z304" s="40"/>
      <c r="AA304" s="40"/>
      <c r="AB304" s="40"/>
      <c r="AC304" s="40"/>
      <c r="AD304" s="39">
        <v>50</v>
      </c>
      <c r="AE304" s="40"/>
      <c r="AF304" s="40"/>
      <c r="AG304" s="40"/>
      <c r="AH304" s="40"/>
      <c r="AI304" s="40"/>
      <c r="AJ304" s="40"/>
    </row>
    <row r="305" spans="3:36" ht="12.75" x14ac:dyDescent="0.2">
      <c r="E305" s="39">
        <v>2</v>
      </c>
      <c r="F305" s="40"/>
      <c r="G305" s="40"/>
      <c r="H305" s="40"/>
      <c r="I305" s="40"/>
      <c r="J305" s="39" t="s">
        <v>25</v>
      </c>
      <c r="K305" s="40"/>
      <c r="L305" s="40"/>
      <c r="M305" s="40"/>
      <c r="N305" s="40"/>
      <c r="O305" s="40"/>
      <c r="P305" s="40"/>
      <c r="Q305" s="40"/>
      <c r="R305" s="40"/>
      <c r="S305" s="40"/>
      <c r="T305" s="39" t="s">
        <v>265</v>
      </c>
      <c r="U305" s="40"/>
      <c r="V305" s="40"/>
      <c r="W305" s="40"/>
      <c r="X305" s="40"/>
      <c r="Y305" s="40"/>
      <c r="Z305" s="40"/>
      <c r="AA305" s="40"/>
      <c r="AB305" s="40"/>
      <c r="AC305" s="40"/>
      <c r="AD305" s="39" t="s">
        <v>265</v>
      </c>
      <c r="AE305" s="40"/>
      <c r="AF305" s="40"/>
      <c r="AG305" s="40"/>
      <c r="AH305" s="40"/>
      <c r="AI305" s="40"/>
      <c r="AJ305" s="40"/>
    </row>
    <row r="306" spans="3:36" ht="12.75" x14ac:dyDescent="0.2">
      <c r="E306" s="39">
        <v>3</v>
      </c>
      <c r="F306" s="40"/>
      <c r="G306" s="40"/>
      <c r="H306" s="40"/>
      <c r="I306" s="40"/>
      <c r="J306" s="39" t="s">
        <v>25</v>
      </c>
      <c r="K306" s="40"/>
      <c r="L306" s="40"/>
      <c r="M306" s="40"/>
      <c r="N306" s="40"/>
      <c r="O306" s="40"/>
      <c r="P306" s="40"/>
      <c r="Q306" s="40"/>
      <c r="R306" s="40"/>
      <c r="S306" s="40"/>
      <c r="T306" s="39">
        <v>170</v>
      </c>
      <c r="U306" s="40"/>
      <c r="V306" s="40"/>
      <c r="W306" s="40"/>
      <c r="X306" s="40"/>
      <c r="Y306" s="40"/>
      <c r="Z306" s="40"/>
      <c r="AA306" s="40"/>
      <c r="AB306" s="40"/>
      <c r="AC306" s="40"/>
      <c r="AD306" s="39">
        <v>50</v>
      </c>
      <c r="AE306" s="40"/>
      <c r="AF306" s="40"/>
      <c r="AG306" s="40"/>
      <c r="AH306" s="40"/>
      <c r="AI306" s="40"/>
      <c r="AJ306" s="40"/>
    </row>
    <row r="307" spans="3:36" ht="12.75" x14ac:dyDescent="0.2">
      <c r="E307" s="39">
        <v>4</v>
      </c>
      <c r="F307" s="40"/>
      <c r="G307" s="40"/>
      <c r="H307" s="40"/>
      <c r="I307" s="40"/>
      <c r="J307" s="39" t="s">
        <v>25</v>
      </c>
      <c r="K307" s="40"/>
      <c r="L307" s="40"/>
      <c r="M307" s="40"/>
      <c r="N307" s="40"/>
      <c r="O307" s="40"/>
      <c r="P307" s="40"/>
      <c r="Q307" s="40"/>
      <c r="R307" s="40"/>
      <c r="S307" s="40"/>
      <c r="T307" s="39" t="s">
        <v>265</v>
      </c>
      <c r="U307" s="40"/>
      <c r="V307" s="40"/>
      <c r="W307" s="40"/>
      <c r="X307" s="40"/>
      <c r="Y307" s="40"/>
      <c r="Z307" s="40"/>
      <c r="AA307" s="40"/>
      <c r="AB307" s="40"/>
      <c r="AC307" s="40"/>
      <c r="AD307" s="39" t="s">
        <v>265</v>
      </c>
      <c r="AE307" s="40"/>
      <c r="AF307" s="40"/>
      <c r="AG307" s="40"/>
      <c r="AH307" s="40"/>
      <c r="AI307" s="40"/>
      <c r="AJ307" s="40"/>
    </row>
    <row r="308" spans="3:36" ht="12.75" x14ac:dyDescent="0.2">
      <c r="E308" s="39">
        <v>5</v>
      </c>
      <c r="F308" s="40"/>
      <c r="G308" s="40"/>
      <c r="H308" s="40"/>
      <c r="I308" s="40"/>
      <c r="J308" s="39" t="s">
        <v>25</v>
      </c>
      <c r="K308" s="40"/>
      <c r="L308" s="40"/>
      <c r="M308" s="40"/>
      <c r="N308" s="40"/>
      <c r="O308" s="40"/>
      <c r="P308" s="40"/>
      <c r="Q308" s="40"/>
      <c r="R308" s="40"/>
      <c r="S308" s="40"/>
      <c r="T308" s="39">
        <v>140</v>
      </c>
      <c r="U308" s="40"/>
      <c r="V308" s="40"/>
      <c r="W308" s="40"/>
      <c r="X308" s="40"/>
      <c r="Y308" s="40"/>
      <c r="Z308" s="40"/>
      <c r="AA308" s="40"/>
      <c r="AB308" s="40"/>
      <c r="AC308" s="40"/>
      <c r="AD308" s="39">
        <v>50</v>
      </c>
      <c r="AE308" s="40"/>
      <c r="AF308" s="40"/>
      <c r="AG308" s="40"/>
      <c r="AH308" s="40"/>
      <c r="AI308" s="40"/>
      <c r="AJ308" s="40"/>
    </row>
    <row r="309" spans="3:36" ht="12.75" x14ac:dyDescent="0.2">
      <c r="E309" s="39">
        <v>6</v>
      </c>
      <c r="F309" s="40"/>
      <c r="G309" s="40"/>
      <c r="H309" s="40"/>
      <c r="I309" s="40"/>
      <c r="J309" s="39" t="s">
        <v>25</v>
      </c>
      <c r="K309" s="40"/>
      <c r="L309" s="40"/>
      <c r="M309" s="40"/>
      <c r="N309" s="40"/>
      <c r="O309" s="40"/>
      <c r="P309" s="40"/>
      <c r="Q309" s="40"/>
      <c r="R309" s="40"/>
      <c r="S309" s="40"/>
      <c r="T309" s="39">
        <v>120</v>
      </c>
      <c r="U309" s="40"/>
      <c r="V309" s="40"/>
      <c r="W309" s="40"/>
      <c r="X309" s="40"/>
      <c r="Y309" s="40"/>
      <c r="Z309" s="40"/>
      <c r="AA309" s="40"/>
      <c r="AB309" s="40"/>
      <c r="AC309" s="40"/>
      <c r="AD309" s="39">
        <v>50</v>
      </c>
      <c r="AE309" s="40"/>
      <c r="AF309" s="40"/>
      <c r="AG309" s="40"/>
      <c r="AH309" s="40"/>
      <c r="AI309" s="40"/>
      <c r="AJ309" s="40"/>
    </row>
    <row r="310" spans="3:36" ht="12.75" x14ac:dyDescent="0.2">
      <c r="E310" s="39">
        <v>7</v>
      </c>
      <c r="F310" s="40"/>
      <c r="G310" s="40"/>
      <c r="H310" s="40"/>
      <c r="I310" s="40"/>
      <c r="J310" s="39" t="s">
        <v>25</v>
      </c>
      <c r="K310" s="40"/>
      <c r="L310" s="40"/>
      <c r="M310" s="40"/>
      <c r="N310" s="40"/>
      <c r="O310" s="40"/>
      <c r="P310" s="40"/>
      <c r="Q310" s="40"/>
      <c r="R310" s="40"/>
      <c r="S310" s="40"/>
      <c r="T310" s="39">
        <v>155</v>
      </c>
      <c r="U310" s="40"/>
      <c r="V310" s="40"/>
      <c r="W310" s="40"/>
      <c r="X310" s="40"/>
      <c r="Y310" s="40"/>
      <c r="Z310" s="40"/>
      <c r="AA310" s="40"/>
      <c r="AB310" s="40"/>
      <c r="AC310" s="40"/>
      <c r="AD310" s="39">
        <v>50</v>
      </c>
      <c r="AE310" s="40"/>
      <c r="AF310" s="40"/>
      <c r="AG310" s="40"/>
      <c r="AH310" s="40"/>
      <c r="AI310" s="40"/>
      <c r="AJ310" s="40"/>
    </row>
    <row r="312" spans="3:36" ht="12.75" x14ac:dyDescent="0.2">
      <c r="C312" s="22">
        <v>4</v>
      </c>
      <c r="D312" s="41" t="s">
        <v>261</v>
      </c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1" t="s">
        <v>6</v>
      </c>
      <c r="Y312" s="40"/>
      <c r="Z312" s="40"/>
      <c r="AA312" s="40"/>
      <c r="AB312" s="40"/>
      <c r="AC312" s="40"/>
      <c r="AD312" s="41" t="s">
        <v>262</v>
      </c>
      <c r="AE312" s="40"/>
      <c r="AF312" s="40"/>
      <c r="AG312" s="40"/>
      <c r="AH312" s="40"/>
    </row>
    <row r="314" spans="3:36" ht="12.75" x14ac:dyDescent="0.2">
      <c r="E314" s="39">
        <v>1</v>
      </c>
      <c r="F314" s="40"/>
      <c r="G314" s="40"/>
      <c r="H314" s="40"/>
      <c r="I314" s="40"/>
      <c r="J314" s="39" t="s">
        <v>25</v>
      </c>
      <c r="K314" s="40"/>
      <c r="L314" s="40"/>
      <c r="M314" s="40"/>
      <c r="N314" s="40"/>
      <c r="O314" s="40"/>
      <c r="P314" s="40"/>
      <c r="Q314" s="40"/>
      <c r="R314" s="40"/>
      <c r="S314" s="40"/>
      <c r="T314" s="39">
        <v>150</v>
      </c>
      <c r="U314" s="40"/>
      <c r="V314" s="40"/>
      <c r="W314" s="40"/>
      <c r="X314" s="40"/>
      <c r="Y314" s="40"/>
      <c r="Z314" s="40"/>
      <c r="AA314" s="40"/>
      <c r="AB314" s="40"/>
      <c r="AC314" s="40"/>
      <c r="AD314" s="39">
        <v>50</v>
      </c>
      <c r="AE314" s="40"/>
      <c r="AF314" s="40"/>
      <c r="AG314" s="40"/>
      <c r="AH314" s="40"/>
      <c r="AI314" s="40"/>
      <c r="AJ314" s="40"/>
    </row>
    <row r="315" spans="3:36" ht="12.75" x14ac:dyDescent="0.2">
      <c r="E315" s="39">
        <v>2</v>
      </c>
      <c r="F315" s="40"/>
      <c r="G315" s="40"/>
      <c r="H315" s="40"/>
      <c r="I315" s="40"/>
      <c r="J315" s="39" t="s">
        <v>25</v>
      </c>
      <c r="K315" s="40"/>
      <c r="L315" s="40"/>
      <c r="M315" s="40"/>
      <c r="N315" s="40"/>
      <c r="O315" s="40"/>
      <c r="P315" s="40"/>
      <c r="Q315" s="40"/>
      <c r="R315" s="40"/>
      <c r="S315" s="40"/>
      <c r="T315" s="39" t="s">
        <v>265</v>
      </c>
      <c r="U315" s="40"/>
      <c r="V315" s="40"/>
      <c r="W315" s="40"/>
      <c r="X315" s="40"/>
      <c r="Y315" s="40"/>
      <c r="Z315" s="40"/>
      <c r="AA315" s="40"/>
      <c r="AB315" s="40"/>
      <c r="AC315" s="40"/>
      <c r="AD315" s="39" t="s">
        <v>265</v>
      </c>
      <c r="AE315" s="40"/>
      <c r="AF315" s="40"/>
      <c r="AG315" s="40"/>
      <c r="AH315" s="40"/>
      <c r="AI315" s="40"/>
      <c r="AJ315" s="40"/>
    </row>
    <row r="316" spans="3:36" ht="12.75" x14ac:dyDescent="0.2">
      <c r="E316" s="39">
        <v>3</v>
      </c>
      <c r="F316" s="40"/>
      <c r="G316" s="40"/>
      <c r="H316" s="40"/>
      <c r="I316" s="40"/>
      <c r="J316" s="39" t="s">
        <v>25</v>
      </c>
      <c r="K316" s="40"/>
      <c r="L316" s="40"/>
      <c r="M316" s="40"/>
      <c r="N316" s="40"/>
      <c r="O316" s="40"/>
      <c r="P316" s="40"/>
      <c r="Q316" s="40"/>
      <c r="R316" s="40"/>
      <c r="S316" s="40"/>
      <c r="T316" s="39">
        <v>169</v>
      </c>
      <c r="U316" s="40"/>
      <c r="V316" s="40"/>
      <c r="W316" s="40"/>
      <c r="X316" s="40"/>
      <c r="Y316" s="40"/>
      <c r="Z316" s="40"/>
      <c r="AA316" s="40"/>
      <c r="AB316" s="40"/>
      <c r="AC316" s="40"/>
      <c r="AD316" s="39">
        <v>50</v>
      </c>
      <c r="AE316" s="40"/>
      <c r="AF316" s="40"/>
      <c r="AG316" s="40"/>
      <c r="AH316" s="40"/>
      <c r="AI316" s="40"/>
      <c r="AJ316" s="40"/>
    </row>
    <row r="317" spans="3:36" ht="12.75" x14ac:dyDescent="0.2">
      <c r="E317" s="39">
        <v>4</v>
      </c>
      <c r="F317" s="40"/>
      <c r="G317" s="40"/>
      <c r="H317" s="40"/>
      <c r="I317" s="40"/>
      <c r="J317" s="39" t="s">
        <v>25</v>
      </c>
      <c r="K317" s="40"/>
      <c r="L317" s="40"/>
      <c r="M317" s="40"/>
      <c r="N317" s="40"/>
      <c r="O317" s="40"/>
      <c r="P317" s="40"/>
      <c r="Q317" s="40"/>
      <c r="R317" s="40"/>
      <c r="S317" s="40"/>
      <c r="T317" s="39" t="s">
        <v>265</v>
      </c>
      <c r="U317" s="40"/>
      <c r="V317" s="40"/>
      <c r="W317" s="40"/>
      <c r="X317" s="40"/>
      <c r="Y317" s="40"/>
      <c r="Z317" s="40"/>
      <c r="AA317" s="40"/>
      <c r="AB317" s="40"/>
      <c r="AC317" s="40"/>
      <c r="AD317" s="39" t="s">
        <v>265</v>
      </c>
      <c r="AE317" s="40"/>
      <c r="AF317" s="40"/>
      <c r="AG317" s="40"/>
      <c r="AH317" s="40"/>
      <c r="AI317" s="40"/>
      <c r="AJ317" s="40"/>
    </row>
    <row r="318" spans="3:36" ht="12.75" x14ac:dyDescent="0.2">
      <c r="E318" s="39">
        <v>5</v>
      </c>
      <c r="F318" s="40"/>
      <c r="G318" s="40"/>
      <c r="H318" s="40"/>
      <c r="I318" s="40"/>
      <c r="J318" s="39" t="s">
        <v>25</v>
      </c>
      <c r="K318" s="40"/>
      <c r="L318" s="40"/>
      <c r="M318" s="40"/>
      <c r="N318" s="40"/>
      <c r="O318" s="40"/>
      <c r="P318" s="40"/>
      <c r="Q318" s="40"/>
      <c r="R318" s="40"/>
      <c r="S318" s="40"/>
      <c r="T318" s="39">
        <v>165</v>
      </c>
      <c r="U318" s="40"/>
      <c r="V318" s="40"/>
      <c r="W318" s="40"/>
      <c r="X318" s="40"/>
      <c r="Y318" s="40"/>
      <c r="Z318" s="40"/>
      <c r="AA318" s="40"/>
      <c r="AB318" s="40"/>
      <c r="AC318" s="40"/>
      <c r="AD318" s="39">
        <v>50</v>
      </c>
      <c r="AE318" s="40"/>
      <c r="AF318" s="40"/>
      <c r="AG318" s="40"/>
      <c r="AH318" s="40"/>
      <c r="AI318" s="40"/>
      <c r="AJ318" s="40"/>
    </row>
    <row r="319" spans="3:36" ht="12.75" x14ac:dyDescent="0.2">
      <c r="E319" s="39">
        <v>6</v>
      </c>
      <c r="F319" s="40"/>
      <c r="G319" s="40"/>
      <c r="H319" s="40"/>
      <c r="I319" s="40"/>
      <c r="J319" s="39" t="s">
        <v>25</v>
      </c>
      <c r="K319" s="40"/>
      <c r="L319" s="40"/>
      <c r="M319" s="40"/>
      <c r="N319" s="40"/>
      <c r="O319" s="40"/>
      <c r="P319" s="40"/>
      <c r="Q319" s="40"/>
      <c r="R319" s="40"/>
      <c r="S319" s="40"/>
      <c r="T319" s="39">
        <v>140</v>
      </c>
      <c r="U319" s="40"/>
      <c r="V319" s="40"/>
      <c r="W319" s="40"/>
      <c r="X319" s="40"/>
      <c r="Y319" s="40"/>
      <c r="Z319" s="40"/>
      <c r="AA319" s="40"/>
      <c r="AB319" s="40"/>
      <c r="AC319" s="40"/>
      <c r="AD319" s="39">
        <v>50</v>
      </c>
      <c r="AE319" s="40"/>
      <c r="AF319" s="40"/>
      <c r="AG319" s="40"/>
      <c r="AH319" s="40"/>
      <c r="AI319" s="40"/>
      <c r="AJ319" s="40"/>
    </row>
    <row r="320" spans="3:36" ht="12.75" x14ac:dyDescent="0.2">
      <c r="E320" s="39">
        <v>7</v>
      </c>
      <c r="F320" s="40"/>
      <c r="G320" s="40"/>
      <c r="H320" s="40"/>
      <c r="I320" s="40"/>
      <c r="J320" s="39" t="s">
        <v>25</v>
      </c>
      <c r="K320" s="40"/>
      <c r="L320" s="40"/>
      <c r="M320" s="40"/>
      <c r="N320" s="40"/>
      <c r="O320" s="40"/>
      <c r="P320" s="40"/>
      <c r="Q320" s="40"/>
      <c r="R320" s="40"/>
      <c r="S320" s="40"/>
      <c r="T320" s="39">
        <v>175</v>
      </c>
      <c r="U320" s="40"/>
      <c r="V320" s="40"/>
      <c r="W320" s="40"/>
      <c r="X320" s="40"/>
      <c r="Y320" s="40"/>
      <c r="Z320" s="40"/>
      <c r="AA320" s="40"/>
      <c r="AB320" s="40"/>
      <c r="AC320" s="40"/>
      <c r="AD320" s="39">
        <v>50</v>
      </c>
      <c r="AE320" s="40"/>
      <c r="AF320" s="40"/>
      <c r="AG320" s="40"/>
      <c r="AH320" s="40"/>
      <c r="AI320" s="40"/>
      <c r="AJ320" s="40"/>
    </row>
    <row r="322" spans="3:36" ht="12.75" x14ac:dyDescent="0.2">
      <c r="C322" s="22">
        <v>5</v>
      </c>
      <c r="D322" s="41" t="s">
        <v>261</v>
      </c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1" t="s">
        <v>6</v>
      </c>
      <c r="Y322" s="40"/>
      <c r="Z322" s="40"/>
      <c r="AA322" s="40"/>
      <c r="AB322" s="40"/>
      <c r="AC322" s="40"/>
      <c r="AD322" s="41" t="s">
        <v>262</v>
      </c>
      <c r="AE322" s="40"/>
      <c r="AF322" s="40"/>
      <c r="AG322" s="40"/>
      <c r="AH322" s="40"/>
    </row>
    <row r="324" spans="3:36" ht="12.75" x14ac:dyDescent="0.2">
      <c r="E324" s="39">
        <v>1</v>
      </c>
      <c r="F324" s="40"/>
      <c r="G324" s="40"/>
      <c r="H324" s="40"/>
      <c r="I324" s="40"/>
      <c r="J324" s="39" t="s">
        <v>25</v>
      </c>
      <c r="K324" s="40"/>
      <c r="L324" s="40"/>
      <c r="M324" s="40"/>
      <c r="N324" s="40"/>
      <c r="O324" s="40"/>
      <c r="P324" s="40"/>
      <c r="Q324" s="40"/>
      <c r="R324" s="40"/>
      <c r="S324" s="40"/>
      <c r="T324" s="39">
        <v>175</v>
      </c>
      <c r="U324" s="40"/>
      <c r="V324" s="40"/>
      <c r="W324" s="40"/>
      <c r="X324" s="40"/>
      <c r="Y324" s="40"/>
      <c r="Z324" s="40"/>
      <c r="AA324" s="40"/>
      <c r="AB324" s="40"/>
      <c r="AC324" s="40"/>
      <c r="AD324" s="39">
        <v>50</v>
      </c>
      <c r="AE324" s="40"/>
      <c r="AF324" s="40"/>
      <c r="AG324" s="40"/>
      <c r="AH324" s="40"/>
      <c r="AI324" s="40"/>
      <c r="AJ324" s="40"/>
    </row>
    <row r="325" spans="3:36" ht="12.75" x14ac:dyDescent="0.2">
      <c r="E325" s="39">
        <v>2</v>
      </c>
      <c r="F325" s="40"/>
      <c r="G325" s="40"/>
      <c r="H325" s="40"/>
      <c r="I325" s="40"/>
      <c r="J325" s="39" t="s">
        <v>25</v>
      </c>
      <c r="K325" s="40"/>
      <c r="L325" s="40"/>
      <c r="M325" s="40"/>
      <c r="N325" s="40"/>
      <c r="O325" s="40"/>
      <c r="P325" s="40"/>
      <c r="Q325" s="40"/>
      <c r="R325" s="40"/>
      <c r="S325" s="40"/>
      <c r="T325" s="39" t="s">
        <v>265</v>
      </c>
      <c r="U325" s="40"/>
      <c r="V325" s="40"/>
      <c r="W325" s="40"/>
      <c r="X325" s="40"/>
      <c r="Y325" s="40"/>
      <c r="Z325" s="40"/>
      <c r="AA325" s="40"/>
      <c r="AB325" s="40"/>
      <c r="AC325" s="40"/>
      <c r="AD325" s="39" t="s">
        <v>265</v>
      </c>
      <c r="AE325" s="40"/>
      <c r="AF325" s="40"/>
      <c r="AG325" s="40"/>
      <c r="AH325" s="40"/>
      <c r="AI325" s="40"/>
      <c r="AJ325" s="40"/>
    </row>
    <row r="326" spans="3:36" ht="12.75" x14ac:dyDescent="0.2">
      <c r="E326" s="39">
        <v>3</v>
      </c>
      <c r="F326" s="40"/>
      <c r="G326" s="40"/>
      <c r="H326" s="40"/>
      <c r="I326" s="40"/>
      <c r="J326" s="39" t="s">
        <v>25</v>
      </c>
      <c r="K326" s="40"/>
      <c r="L326" s="40"/>
      <c r="M326" s="40"/>
      <c r="N326" s="40"/>
      <c r="O326" s="40"/>
      <c r="P326" s="40"/>
      <c r="Q326" s="40"/>
      <c r="R326" s="40"/>
      <c r="S326" s="40"/>
      <c r="T326" s="39">
        <v>170</v>
      </c>
      <c r="U326" s="40"/>
      <c r="V326" s="40"/>
      <c r="W326" s="40"/>
      <c r="X326" s="40"/>
      <c r="Y326" s="40"/>
      <c r="Z326" s="40"/>
      <c r="AA326" s="40"/>
      <c r="AB326" s="40"/>
      <c r="AC326" s="40"/>
      <c r="AD326" s="39">
        <v>50</v>
      </c>
      <c r="AE326" s="40"/>
      <c r="AF326" s="40"/>
      <c r="AG326" s="40"/>
      <c r="AH326" s="40"/>
      <c r="AI326" s="40"/>
      <c r="AJ326" s="40"/>
    </row>
    <row r="327" spans="3:36" ht="12.75" x14ac:dyDescent="0.2">
      <c r="E327" s="39">
        <v>4</v>
      </c>
      <c r="F327" s="40"/>
      <c r="G327" s="40"/>
      <c r="H327" s="40"/>
      <c r="I327" s="40"/>
      <c r="J327" s="39" t="s">
        <v>25</v>
      </c>
      <c r="K327" s="40"/>
      <c r="L327" s="40"/>
      <c r="M327" s="40"/>
      <c r="N327" s="40"/>
      <c r="O327" s="40"/>
      <c r="P327" s="40"/>
      <c r="Q327" s="40"/>
      <c r="R327" s="40"/>
      <c r="S327" s="40"/>
      <c r="T327" s="39" t="s">
        <v>265</v>
      </c>
      <c r="U327" s="40"/>
      <c r="V327" s="40"/>
      <c r="W327" s="40"/>
      <c r="X327" s="40"/>
      <c r="Y327" s="40"/>
      <c r="Z327" s="40"/>
      <c r="AA327" s="40"/>
      <c r="AB327" s="40"/>
      <c r="AC327" s="40"/>
      <c r="AD327" s="39" t="s">
        <v>265</v>
      </c>
      <c r="AE327" s="40"/>
      <c r="AF327" s="40"/>
      <c r="AG327" s="40"/>
      <c r="AH327" s="40"/>
      <c r="AI327" s="40"/>
      <c r="AJ327" s="40"/>
    </row>
    <row r="328" spans="3:36" ht="12.75" x14ac:dyDescent="0.2">
      <c r="E328" s="39">
        <v>5</v>
      </c>
      <c r="F328" s="40"/>
      <c r="G328" s="40"/>
      <c r="H328" s="40"/>
      <c r="I328" s="40"/>
      <c r="J328" s="39" t="s">
        <v>25</v>
      </c>
      <c r="K328" s="40"/>
      <c r="L328" s="40"/>
      <c r="M328" s="40"/>
      <c r="N328" s="40"/>
      <c r="O328" s="40"/>
      <c r="P328" s="40"/>
      <c r="Q328" s="40"/>
      <c r="R328" s="40"/>
      <c r="S328" s="40"/>
      <c r="T328" s="39">
        <v>180</v>
      </c>
      <c r="U328" s="40"/>
      <c r="V328" s="40"/>
      <c r="W328" s="40"/>
      <c r="X328" s="40"/>
      <c r="Y328" s="40"/>
      <c r="Z328" s="40"/>
      <c r="AA328" s="40"/>
      <c r="AB328" s="40"/>
      <c r="AC328" s="40"/>
      <c r="AD328" s="39">
        <v>50</v>
      </c>
      <c r="AE328" s="40"/>
      <c r="AF328" s="40"/>
      <c r="AG328" s="40"/>
      <c r="AH328" s="40"/>
      <c r="AI328" s="40"/>
      <c r="AJ328" s="40"/>
    </row>
    <row r="329" spans="3:36" ht="12.75" x14ac:dyDescent="0.2">
      <c r="E329" s="39">
        <v>6</v>
      </c>
      <c r="F329" s="40"/>
      <c r="G329" s="40"/>
      <c r="H329" s="40"/>
      <c r="I329" s="40"/>
      <c r="J329" s="39" t="s">
        <v>25</v>
      </c>
      <c r="K329" s="40"/>
      <c r="L329" s="40"/>
      <c r="M329" s="40"/>
      <c r="N329" s="40"/>
      <c r="O329" s="40"/>
      <c r="P329" s="40"/>
      <c r="Q329" s="40"/>
      <c r="R329" s="40"/>
      <c r="S329" s="40"/>
      <c r="T329" s="39">
        <v>149</v>
      </c>
      <c r="U329" s="40"/>
      <c r="V329" s="40"/>
      <c r="W329" s="40"/>
      <c r="X329" s="40"/>
      <c r="Y329" s="40"/>
      <c r="Z329" s="40"/>
      <c r="AA329" s="40"/>
      <c r="AB329" s="40"/>
      <c r="AC329" s="40"/>
      <c r="AD329" s="39">
        <v>50</v>
      </c>
      <c r="AE329" s="40"/>
      <c r="AF329" s="40"/>
      <c r="AG329" s="40"/>
      <c r="AH329" s="40"/>
      <c r="AI329" s="40"/>
      <c r="AJ329" s="40"/>
    </row>
    <row r="330" spans="3:36" ht="12.75" x14ac:dyDescent="0.2">
      <c r="E330" s="39">
        <v>7</v>
      </c>
      <c r="F330" s="40"/>
      <c r="G330" s="40"/>
      <c r="H330" s="40"/>
      <c r="I330" s="40"/>
      <c r="J330" s="39" t="s">
        <v>25</v>
      </c>
      <c r="K330" s="40"/>
      <c r="L330" s="40"/>
      <c r="M330" s="40"/>
      <c r="N330" s="40"/>
      <c r="O330" s="40"/>
      <c r="P330" s="40"/>
      <c r="Q330" s="40"/>
      <c r="R330" s="40"/>
      <c r="S330" s="40"/>
      <c r="T330" s="39">
        <v>175</v>
      </c>
      <c r="U330" s="40"/>
      <c r="V330" s="40"/>
      <c r="W330" s="40"/>
      <c r="X330" s="40"/>
      <c r="Y330" s="40"/>
      <c r="Z330" s="40"/>
      <c r="AA330" s="40"/>
      <c r="AB330" s="40"/>
      <c r="AC330" s="40"/>
      <c r="AD330" s="39">
        <v>50</v>
      </c>
      <c r="AE330" s="40"/>
      <c r="AF330" s="40"/>
      <c r="AG330" s="40"/>
      <c r="AH330" s="40"/>
      <c r="AI330" s="40"/>
      <c r="AJ330" s="40"/>
    </row>
    <row r="332" spans="3:36" ht="12.75" x14ac:dyDescent="0.2">
      <c r="C332" s="22">
        <v>6</v>
      </c>
      <c r="D332" s="41" t="s">
        <v>261</v>
      </c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1" t="s">
        <v>6</v>
      </c>
      <c r="Y332" s="40"/>
      <c r="Z332" s="40"/>
      <c r="AA332" s="40"/>
      <c r="AB332" s="40"/>
      <c r="AC332" s="40"/>
      <c r="AD332" s="41" t="s">
        <v>262</v>
      </c>
      <c r="AE332" s="40"/>
      <c r="AF332" s="40"/>
      <c r="AG332" s="40"/>
      <c r="AH332" s="40"/>
    </row>
    <row r="334" spans="3:36" ht="12.75" x14ac:dyDescent="0.2">
      <c r="E334" s="39">
        <v>1</v>
      </c>
      <c r="F334" s="40"/>
      <c r="G334" s="40"/>
      <c r="H334" s="40"/>
      <c r="I334" s="40"/>
      <c r="J334" s="39" t="s">
        <v>25</v>
      </c>
      <c r="K334" s="40"/>
      <c r="L334" s="40"/>
      <c r="M334" s="40"/>
      <c r="N334" s="40"/>
      <c r="O334" s="40"/>
      <c r="P334" s="40"/>
      <c r="Q334" s="40"/>
      <c r="R334" s="40"/>
      <c r="S334" s="40"/>
      <c r="T334" s="39">
        <v>195</v>
      </c>
      <c r="U334" s="40"/>
      <c r="V334" s="40"/>
      <c r="W334" s="40"/>
      <c r="X334" s="40"/>
      <c r="Y334" s="40"/>
      <c r="Z334" s="40"/>
      <c r="AA334" s="40"/>
      <c r="AB334" s="40"/>
      <c r="AC334" s="40"/>
      <c r="AD334" s="39">
        <v>50</v>
      </c>
      <c r="AE334" s="40"/>
      <c r="AF334" s="40"/>
      <c r="AG334" s="40"/>
      <c r="AH334" s="40"/>
      <c r="AI334" s="40"/>
      <c r="AJ334" s="40"/>
    </row>
    <row r="335" spans="3:36" ht="12.75" x14ac:dyDescent="0.2">
      <c r="E335" s="39">
        <v>2</v>
      </c>
      <c r="F335" s="40"/>
      <c r="G335" s="40"/>
      <c r="H335" s="40"/>
      <c r="I335" s="40"/>
      <c r="J335" s="39" t="s">
        <v>25</v>
      </c>
      <c r="K335" s="40"/>
      <c r="L335" s="40"/>
      <c r="M335" s="40"/>
      <c r="N335" s="40"/>
      <c r="O335" s="40"/>
      <c r="P335" s="40"/>
      <c r="Q335" s="40"/>
      <c r="R335" s="40"/>
      <c r="S335" s="40"/>
      <c r="T335" s="39" t="s">
        <v>265</v>
      </c>
      <c r="U335" s="40"/>
      <c r="V335" s="40"/>
      <c r="W335" s="40"/>
      <c r="X335" s="40"/>
      <c r="Y335" s="40"/>
      <c r="Z335" s="40"/>
      <c r="AA335" s="40"/>
      <c r="AB335" s="40"/>
      <c r="AC335" s="40"/>
      <c r="AD335" s="39" t="s">
        <v>265</v>
      </c>
      <c r="AE335" s="40"/>
      <c r="AF335" s="40"/>
      <c r="AG335" s="40"/>
      <c r="AH335" s="40"/>
      <c r="AI335" s="40"/>
      <c r="AJ335" s="40"/>
    </row>
    <row r="336" spans="3:36" ht="12.75" x14ac:dyDescent="0.2">
      <c r="E336" s="39">
        <v>3</v>
      </c>
      <c r="F336" s="40"/>
      <c r="G336" s="40"/>
      <c r="H336" s="40"/>
      <c r="I336" s="40"/>
      <c r="J336" s="39" t="s">
        <v>25</v>
      </c>
      <c r="K336" s="40"/>
      <c r="L336" s="40"/>
      <c r="M336" s="40"/>
      <c r="N336" s="40"/>
      <c r="O336" s="40"/>
      <c r="P336" s="40"/>
      <c r="Q336" s="40"/>
      <c r="R336" s="40"/>
      <c r="S336" s="40"/>
      <c r="T336" s="39">
        <v>170</v>
      </c>
      <c r="U336" s="40"/>
      <c r="V336" s="40"/>
      <c r="W336" s="40"/>
      <c r="X336" s="40"/>
      <c r="Y336" s="40"/>
      <c r="Z336" s="40"/>
      <c r="AA336" s="40"/>
      <c r="AB336" s="40"/>
      <c r="AC336" s="40"/>
      <c r="AD336" s="39">
        <v>50</v>
      </c>
      <c r="AE336" s="40"/>
      <c r="AF336" s="40"/>
      <c r="AG336" s="40"/>
      <c r="AH336" s="40"/>
      <c r="AI336" s="40"/>
      <c r="AJ336" s="40"/>
    </row>
    <row r="337" spans="2:36" ht="12.75" x14ac:dyDescent="0.2">
      <c r="E337" s="39">
        <v>4</v>
      </c>
      <c r="F337" s="40"/>
      <c r="G337" s="40"/>
      <c r="H337" s="40"/>
      <c r="I337" s="40"/>
      <c r="J337" s="39" t="s">
        <v>25</v>
      </c>
      <c r="K337" s="40"/>
      <c r="L337" s="40"/>
      <c r="M337" s="40"/>
      <c r="N337" s="40"/>
      <c r="O337" s="40"/>
      <c r="P337" s="40"/>
      <c r="Q337" s="40"/>
      <c r="R337" s="40"/>
      <c r="S337" s="40"/>
      <c r="T337" s="39" t="s">
        <v>265</v>
      </c>
      <c r="U337" s="40"/>
      <c r="V337" s="40"/>
      <c r="W337" s="40"/>
      <c r="X337" s="40"/>
      <c r="Y337" s="40"/>
      <c r="Z337" s="40"/>
      <c r="AA337" s="40"/>
      <c r="AB337" s="40"/>
      <c r="AC337" s="40"/>
      <c r="AD337" s="39" t="s">
        <v>265</v>
      </c>
      <c r="AE337" s="40"/>
      <c r="AF337" s="40"/>
      <c r="AG337" s="40"/>
      <c r="AH337" s="40"/>
      <c r="AI337" s="40"/>
      <c r="AJ337" s="40"/>
    </row>
    <row r="338" spans="2:36" ht="12.75" x14ac:dyDescent="0.2">
      <c r="E338" s="39">
        <v>5</v>
      </c>
      <c r="F338" s="40"/>
      <c r="G338" s="40"/>
      <c r="H338" s="40"/>
      <c r="I338" s="40"/>
      <c r="J338" s="39" t="s">
        <v>25</v>
      </c>
      <c r="K338" s="40"/>
      <c r="L338" s="40"/>
      <c r="M338" s="40"/>
      <c r="N338" s="40"/>
      <c r="O338" s="40"/>
      <c r="P338" s="40"/>
      <c r="Q338" s="40"/>
      <c r="R338" s="40"/>
      <c r="S338" s="40"/>
      <c r="T338" s="39">
        <v>165</v>
      </c>
      <c r="U338" s="40"/>
      <c r="V338" s="40"/>
      <c r="W338" s="40"/>
      <c r="X338" s="40"/>
      <c r="Y338" s="40"/>
      <c r="Z338" s="40"/>
      <c r="AA338" s="40"/>
      <c r="AB338" s="40"/>
      <c r="AC338" s="40"/>
      <c r="AD338" s="39">
        <v>50</v>
      </c>
      <c r="AE338" s="40"/>
      <c r="AF338" s="40"/>
      <c r="AG338" s="40"/>
      <c r="AH338" s="40"/>
      <c r="AI338" s="40"/>
      <c r="AJ338" s="40"/>
    </row>
    <row r="339" spans="2:36" ht="12.75" x14ac:dyDescent="0.2">
      <c r="E339" s="39">
        <v>6</v>
      </c>
      <c r="F339" s="40"/>
      <c r="G339" s="40"/>
      <c r="H339" s="40"/>
      <c r="I339" s="40"/>
      <c r="J339" s="39" t="s">
        <v>25</v>
      </c>
      <c r="K339" s="40"/>
      <c r="L339" s="40"/>
      <c r="M339" s="40"/>
      <c r="N339" s="40"/>
      <c r="O339" s="40"/>
      <c r="P339" s="40"/>
      <c r="Q339" s="40"/>
      <c r="R339" s="40"/>
      <c r="S339" s="40"/>
      <c r="T339" s="39">
        <v>180</v>
      </c>
      <c r="U339" s="40"/>
      <c r="V339" s="40"/>
      <c r="W339" s="40"/>
      <c r="X339" s="40"/>
      <c r="Y339" s="40"/>
      <c r="Z339" s="40"/>
      <c r="AA339" s="40"/>
      <c r="AB339" s="40"/>
      <c r="AC339" s="40"/>
      <c r="AD339" s="39">
        <v>50</v>
      </c>
      <c r="AE339" s="40"/>
      <c r="AF339" s="40"/>
      <c r="AG339" s="40"/>
      <c r="AH339" s="40"/>
      <c r="AI339" s="40"/>
      <c r="AJ339" s="40"/>
    </row>
    <row r="340" spans="2:36" ht="12.75" x14ac:dyDescent="0.2">
      <c r="E340" s="39">
        <v>7</v>
      </c>
      <c r="F340" s="40"/>
      <c r="G340" s="40"/>
      <c r="H340" s="40"/>
      <c r="I340" s="40"/>
      <c r="J340" s="39" t="s">
        <v>25</v>
      </c>
      <c r="K340" s="40"/>
      <c r="L340" s="40"/>
      <c r="M340" s="40"/>
      <c r="N340" s="40"/>
      <c r="O340" s="40"/>
      <c r="P340" s="40"/>
      <c r="Q340" s="40"/>
      <c r="R340" s="40"/>
      <c r="S340" s="40"/>
      <c r="T340" s="39">
        <v>190</v>
      </c>
      <c r="U340" s="40"/>
      <c r="V340" s="40"/>
      <c r="W340" s="40"/>
      <c r="X340" s="40"/>
      <c r="Y340" s="40"/>
      <c r="Z340" s="40"/>
      <c r="AA340" s="40"/>
      <c r="AB340" s="40"/>
      <c r="AC340" s="40"/>
      <c r="AD340" s="39">
        <v>5</v>
      </c>
      <c r="AE340" s="40"/>
      <c r="AF340" s="40"/>
      <c r="AG340" s="40"/>
      <c r="AH340" s="40"/>
      <c r="AI340" s="40"/>
      <c r="AJ340" s="40"/>
    </row>
    <row r="341" spans="2:36" ht="12.75" x14ac:dyDescent="0.2">
      <c r="B341" s="7" t="s">
        <v>267</v>
      </c>
      <c r="C341" s="22">
        <v>0</v>
      </c>
      <c r="D341" s="8" t="s">
        <v>268</v>
      </c>
      <c r="E341" s="8" t="s">
        <v>269</v>
      </c>
      <c r="F341" s="8" t="s">
        <v>270</v>
      </c>
      <c r="G341" s="8" t="s">
        <v>271</v>
      </c>
      <c r="H341" s="8" t="s">
        <v>272</v>
      </c>
    </row>
    <row r="342" spans="2:36" ht="12.75" x14ac:dyDescent="0.2">
      <c r="D342" s="9" t="s">
        <v>273</v>
      </c>
      <c r="E342" s="25" t="s">
        <v>274</v>
      </c>
      <c r="F342" s="25">
        <v>47</v>
      </c>
      <c r="G342" s="25" t="s">
        <v>275</v>
      </c>
      <c r="H342" s="25">
        <v>0</v>
      </c>
    </row>
    <row r="343" spans="2:36" ht="12.75" x14ac:dyDescent="0.2">
      <c r="D343" s="9" t="s">
        <v>276</v>
      </c>
      <c r="E343" s="25" t="s">
        <v>274</v>
      </c>
      <c r="F343" s="25">
        <v>47</v>
      </c>
      <c r="G343" s="25" t="s">
        <v>275</v>
      </c>
      <c r="H343" s="25">
        <v>0</v>
      </c>
    </row>
    <row r="344" spans="2:36" ht="12.75" x14ac:dyDescent="0.2">
      <c r="D344" s="9" t="s">
        <v>277</v>
      </c>
      <c r="E344" s="25" t="s">
        <v>274</v>
      </c>
      <c r="F344" s="25">
        <v>47</v>
      </c>
      <c r="G344" s="25" t="s">
        <v>275</v>
      </c>
      <c r="H344" s="25">
        <v>0</v>
      </c>
    </row>
    <row r="345" spans="2:36" ht="12.75" x14ac:dyDescent="0.2">
      <c r="D345" s="9" t="s">
        <v>278</v>
      </c>
      <c r="E345" s="25" t="s">
        <v>274</v>
      </c>
      <c r="F345" s="25">
        <v>47</v>
      </c>
      <c r="G345" s="25" t="s">
        <v>275</v>
      </c>
      <c r="H345" s="25">
        <v>0</v>
      </c>
    </row>
    <row r="346" spans="2:36" ht="12.75" x14ac:dyDescent="0.2">
      <c r="D346" s="9" t="s">
        <v>279</v>
      </c>
      <c r="E346" s="25" t="s">
        <v>274</v>
      </c>
      <c r="F346" s="25">
        <v>47</v>
      </c>
      <c r="G346" s="25" t="s">
        <v>275</v>
      </c>
      <c r="H346" s="25">
        <v>0</v>
      </c>
    </row>
    <row r="347" spans="2:36" ht="12.75" x14ac:dyDescent="0.2">
      <c r="D347" s="9" t="s">
        <v>280</v>
      </c>
      <c r="E347" s="25" t="s">
        <v>274</v>
      </c>
      <c r="F347" s="25">
        <v>47</v>
      </c>
      <c r="G347" s="25" t="s">
        <v>275</v>
      </c>
      <c r="H347" s="25">
        <v>0</v>
      </c>
    </row>
    <row r="348" spans="2:36" ht="12.75" x14ac:dyDescent="0.2">
      <c r="D348" s="9" t="s">
        <v>281</v>
      </c>
      <c r="E348" s="25" t="s">
        <v>274</v>
      </c>
      <c r="F348" s="25">
        <v>47</v>
      </c>
      <c r="G348" s="25" t="s">
        <v>275</v>
      </c>
      <c r="H348" s="25">
        <v>0</v>
      </c>
    </row>
    <row r="350" spans="2:36" ht="12.75" x14ac:dyDescent="0.2">
      <c r="C350" s="22">
        <v>1</v>
      </c>
      <c r="D350" s="8" t="s">
        <v>268</v>
      </c>
      <c r="E350" s="8" t="s">
        <v>269</v>
      </c>
      <c r="F350" s="8" t="s">
        <v>270</v>
      </c>
      <c r="G350" s="8" t="s">
        <v>271</v>
      </c>
      <c r="H350" s="8" t="s">
        <v>272</v>
      </c>
    </row>
    <row r="351" spans="2:36" ht="12.75" x14ac:dyDescent="0.2">
      <c r="D351" s="9" t="s">
        <v>273</v>
      </c>
      <c r="E351" s="25" t="s">
        <v>282</v>
      </c>
      <c r="F351" s="25">
        <v>971</v>
      </c>
      <c r="G351" s="25" t="s">
        <v>283</v>
      </c>
      <c r="H351" s="25">
        <v>1.77</v>
      </c>
    </row>
    <row r="352" spans="2:36" ht="12.75" x14ac:dyDescent="0.2">
      <c r="D352" s="9" t="s">
        <v>276</v>
      </c>
      <c r="E352" s="25" t="s">
        <v>284</v>
      </c>
      <c r="F352" s="25" t="s">
        <v>285</v>
      </c>
      <c r="G352" s="25" t="s">
        <v>286</v>
      </c>
      <c r="H352" s="25">
        <v>2.84</v>
      </c>
    </row>
    <row r="353" spans="3:10" ht="12.75" x14ac:dyDescent="0.2">
      <c r="D353" s="9" t="s">
        <v>277</v>
      </c>
      <c r="E353" s="25" t="s">
        <v>287</v>
      </c>
      <c r="F353" s="25" t="s">
        <v>288</v>
      </c>
      <c r="G353" s="25" t="s">
        <v>289</v>
      </c>
      <c r="H353" s="25">
        <v>2.85</v>
      </c>
    </row>
    <row r="354" spans="3:10" ht="12.75" x14ac:dyDescent="0.2">
      <c r="D354" s="9" t="s">
        <v>278</v>
      </c>
      <c r="E354" s="25" t="s">
        <v>290</v>
      </c>
      <c r="F354" s="25" t="s">
        <v>291</v>
      </c>
      <c r="G354" s="25" t="s">
        <v>292</v>
      </c>
      <c r="H354" s="25">
        <v>3.01</v>
      </c>
    </row>
    <row r="355" spans="3:10" ht="12.75" x14ac:dyDescent="0.2">
      <c r="D355" s="9" t="s">
        <v>279</v>
      </c>
      <c r="E355" s="25" t="s">
        <v>293</v>
      </c>
      <c r="F355" s="25" t="s">
        <v>294</v>
      </c>
      <c r="G355" s="25" t="s">
        <v>295</v>
      </c>
      <c r="H355" s="25">
        <v>2.56</v>
      </c>
    </row>
    <row r="356" spans="3:10" ht="12.75" x14ac:dyDescent="0.2">
      <c r="D356" s="9" t="s">
        <v>280</v>
      </c>
      <c r="E356" s="25" t="s">
        <v>296</v>
      </c>
      <c r="F356" s="25" t="s">
        <v>297</v>
      </c>
      <c r="G356" s="25" t="s">
        <v>298</v>
      </c>
      <c r="H356" s="25">
        <v>2.7</v>
      </c>
    </row>
    <row r="357" spans="3:10" ht="12.75" x14ac:dyDescent="0.2">
      <c r="D357" s="9" t="s">
        <v>281</v>
      </c>
      <c r="E357" s="25" t="s">
        <v>299</v>
      </c>
      <c r="F357" s="25" t="s">
        <v>300</v>
      </c>
      <c r="G357" s="25" t="s">
        <v>301</v>
      </c>
      <c r="H357" s="25">
        <v>1.91</v>
      </c>
    </row>
    <row r="359" spans="3:10" ht="12.75" x14ac:dyDescent="0.2">
      <c r="C359" s="22">
        <v>2</v>
      </c>
      <c r="D359" s="8" t="s">
        <v>268</v>
      </c>
      <c r="E359" s="8" t="s">
        <v>269</v>
      </c>
      <c r="F359" s="8" t="s">
        <v>270</v>
      </c>
      <c r="G359" s="8" t="s">
        <v>271</v>
      </c>
      <c r="H359" s="8" t="s">
        <v>272</v>
      </c>
      <c r="I359" s="8" t="s">
        <v>302</v>
      </c>
      <c r="J359" s="8" t="s">
        <v>303</v>
      </c>
    </row>
    <row r="360" spans="3:10" ht="12.75" x14ac:dyDescent="0.2">
      <c r="D360" s="9" t="s">
        <v>273</v>
      </c>
      <c r="E360" s="25" t="s">
        <v>304</v>
      </c>
      <c r="F360" s="25" t="s">
        <v>305</v>
      </c>
      <c r="G360" s="25" t="s">
        <v>306</v>
      </c>
      <c r="H360" s="25">
        <v>2.98</v>
      </c>
      <c r="I360" s="25">
        <v>0.28999999999999998</v>
      </c>
      <c r="J360" s="25">
        <v>-0.03</v>
      </c>
    </row>
    <row r="361" spans="3:10" ht="12.75" x14ac:dyDescent="0.2">
      <c r="D361" s="9" t="s">
        <v>276</v>
      </c>
      <c r="E361" s="25" t="s">
        <v>307</v>
      </c>
      <c r="F361" s="25" t="s">
        <v>308</v>
      </c>
      <c r="G361" s="25" t="s">
        <v>309</v>
      </c>
      <c r="H361" s="25">
        <v>6.62</v>
      </c>
      <c r="I361" s="25">
        <v>0.26</v>
      </c>
      <c r="J361" s="25">
        <v>0.57999999999999996</v>
      </c>
    </row>
    <row r="362" spans="3:10" ht="12.75" x14ac:dyDescent="0.2">
      <c r="D362" s="9" t="s">
        <v>277</v>
      </c>
      <c r="E362" s="25" t="s">
        <v>310</v>
      </c>
      <c r="F362" s="25">
        <v>738</v>
      </c>
      <c r="G362" s="25" t="s">
        <v>311</v>
      </c>
      <c r="H362" s="25">
        <v>2.08</v>
      </c>
      <c r="I362" s="25">
        <v>0.28999999999999998</v>
      </c>
      <c r="J362" s="25">
        <v>-0.21</v>
      </c>
    </row>
    <row r="363" spans="3:10" ht="12.75" x14ac:dyDescent="0.2">
      <c r="D363" s="9" t="s">
        <v>278</v>
      </c>
      <c r="E363" s="25" t="s">
        <v>312</v>
      </c>
      <c r="F363" s="25" t="s">
        <v>313</v>
      </c>
      <c r="G363" s="25" t="s">
        <v>314</v>
      </c>
      <c r="H363" s="25">
        <v>10.74</v>
      </c>
      <c r="I363" s="25">
        <v>0.26</v>
      </c>
      <c r="J363" s="25">
        <v>1.54</v>
      </c>
    </row>
    <row r="364" spans="3:10" ht="12.75" x14ac:dyDescent="0.2">
      <c r="D364" s="9" t="s">
        <v>279</v>
      </c>
      <c r="E364" s="25" t="s">
        <v>315</v>
      </c>
      <c r="F364" s="25" t="s">
        <v>316</v>
      </c>
      <c r="G364" s="25" t="s">
        <v>317</v>
      </c>
      <c r="H364" s="25">
        <v>3.2</v>
      </c>
      <c r="I364" s="25">
        <v>0.28999999999999998</v>
      </c>
      <c r="J364" s="25">
        <v>0.03</v>
      </c>
    </row>
    <row r="365" spans="3:10" ht="12.75" x14ac:dyDescent="0.2">
      <c r="D365" s="9" t="s">
        <v>280</v>
      </c>
      <c r="E365" s="25" t="s">
        <v>318</v>
      </c>
      <c r="F365" s="25" t="s">
        <v>319</v>
      </c>
      <c r="G365" s="25" t="s">
        <v>320</v>
      </c>
      <c r="H365" s="25">
        <v>3.35</v>
      </c>
      <c r="I365" s="25">
        <v>0.18</v>
      </c>
      <c r="J365" s="25">
        <v>-0.67</v>
      </c>
    </row>
    <row r="366" spans="3:10" ht="12.75" x14ac:dyDescent="0.2">
      <c r="D366" s="9" t="s">
        <v>281</v>
      </c>
      <c r="E366" s="25" t="s">
        <v>321</v>
      </c>
      <c r="F366" s="25" t="s">
        <v>322</v>
      </c>
      <c r="G366" s="25" t="s">
        <v>323</v>
      </c>
      <c r="H366" s="25">
        <v>-0.73</v>
      </c>
      <c r="I366" s="25">
        <v>0.23</v>
      </c>
      <c r="J366" s="25">
        <v>-1.24</v>
      </c>
    </row>
    <row r="368" spans="3:10" ht="12.75" x14ac:dyDescent="0.2">
      <c r="C368" s="22">
        <v>3</v>
      </c>
      <c r="D368" s="8" t="s">
        <v>268</v>
      </c>
      <c r="E368" s="8" t="s">
        <v>269</v>
      </c>
      <c r="F368" s="8" t="s">
        <v>270</v>
      </c>
      <c r="G368" s="8" t="s">
        <v>271</v>
      </c>
      <c r="H368" s="8" t="s">
        <v>272</v>
      </c>
      <c r="I368" s="8" t="s">
        <v>302</v>
      </c>
      <c r="J368" s="8" t="s">
        <v>303</v>
      </c>
    </row>
    <row r="369" spans="3:10" ht="12.75" x14ac:dyDescent="0.2">
      <c r="D369" s="9" t="s">
        <v>273</v>
      </c>
      <c r="E369" s="25" t="s">
        <v>324</v>
      </c>
      <c r="F369" s="25" t="s">
        <v>325</v>
      </c>
      <c r="G369" s="25" t="s">
        <v>326</v>
      </c>
      <c r="H369" s="25">
        <v>1.0900000000000001</v>
      </c>
      <c r="I369" s="25">
        <v>0.41</v>
      </c>
      <c r="J369" s="25">
        <v>-0.17</v>
      </c>
    </row>
    <row r="370" spans="3:10" ht="12.75" x14ac:dyDescent="0.2">
      <c r="D370" s="9" t="s">
        <v>276</v>
      </c>
      <c r="E370" s="25" t="s">
        <v>327</v>
      </c>
      <c r="F370" s="25" t="s">
        <v>328</v>
      </c>
      <c r="G370" s="25" t="s">
        <v>329</v>
      </c>
      <c r="H370" s="25">
        <v>5.36</v>
      </c>
      <c r="I370" s="25">
        <v>0.33</v>
      </c>
      <c r="J370" s="25">
        <v>0.46</v>
      </c>
    </row>
    <row r="371" spans="3:10" ht="12.75" x14ac:dyDescent="0.2">
      <c r="D371" s="9" t="s">
        <v>277</v>
      </c>
      <c r="E371" s="25" t="s">
        <v>330</v>
      </c>
      <c r="F371" s="25" t="s">
        <v>331</v>
      </c>
      <c r="G371" s="25" t="s">
        <v>332</v>
      </c>
      <c r="H371" s="25">
        <v>3.77</v>
      </c>
      <c r="I371" s="25">
        <v>0.37</v>
      </c>
      <c r="J371" s="25">
        <v>0.25</v>
      </c>
    </row>
    <row r="372" spans="3:10" ht="12.75" x14ac:dyDescent="0.2">
      <c r="D372" s="9" t="s">
        <v>278</v>
      </c>
      <c r="E372" s="25" t="s">
        <v>333</v>
      </c>
      <c r="F372" s="25" t="s">
        <v>334</v>
      </c>
      <c r="G372" s="25" t="s">
        <v>335</v>
      </c>
      <c r="H372" s="25">
        <v>9.4600000000000009</v>
      </c>
      <c r="I372" s="25">
        <v>0.37</v>
      </c>
      <c r="J372" s="25">
        <v>1.6</v>
      </c>
    </row>
    <row r="373" spans="3:10" ht="12.75" x14ac:dyDescent="0.2">
      <c r="D373" s="9" t="s">
        <v>279</v>
      </c>
      <c r="E373" s="25" t="s">
        <v>336</v>
      </c>
      <c r="F373" s="25" t="s">
        <v>337</v>
      </c>
      <c r="G373" s="25" t="s">
        <v>338</v>
      </c>
      <c r="H373" s="25">
        <v>1.44</v>
      </c>
      <c r="I373" s="25">
        <v>0.4</v>
      </c>
      <c r="J373" s="25">
        <v>-0.14000000000000001</v>
      </c>
    </row>
    <row r="374" spans="3:10" ht="12.75" x14ac:dyDescent="0.2">
      <c r="D374" s="9" t="s">
        <v>280</v>
      </c>
      <c r="E374" s="25" t="s">
        <v>339</v>
      </c>
      <c r="F374" s="25" t="s">
        <v>340</v>
      </c>
      <c r="G374" s="25" t="s">
        <v>341</v>
      </c>
      <c r="H374" s="25">
        <v>1.45</v>
      </c>
      <c r="I374" s="25">
        <v>0.24</v>
      </c>
      <c r="J374" s="25">
        <v>-0.86</v>
      </c>
    </row>
    <row r="375" spans="3:10" ht="12.75" x14ac:dyDescent="0.2">
      <c r="D375" s="9" t="s">
        <v>281</v>
      </c>
      <c r="E375" s="25" t="s">
        <v>342</v>
      </c>
      <c r="F375" s="25">
        <v>-613</v>
      </c>
      <c r="G375" s="25" t="s">
        <v>343</v>
      </c>
      <c r="H375" s="25">
        <v>-0.86</v>
      </c>
      <c r="I375" s="25">
        <v>0.3</v>
      </c>
      <c r="J375" s="25">
        <v>-1.1399999999999999</v>
      </c>
    </row>
    <row r="377" spans="3:10" ht="12.75" x14ac:dyDescent="0.2">
      <c r="C377" s="22">
        <v>4</v>
      </c>
      <c r="D377" s="8" t="s">
        <v>268</v>
      </c>
      <c r="E377" s="8" t="s">
        <v>269</v>
      </c>
      <c r="F377" s="8" t="s">
        <v>270</v>
      </c>
      <c r="G377" s="8" t="s">
        <v>271</v>
      </c>
      <c r="H377" s="8" t="s">
        <v>272</v>
      </c>
      <c r="I377" s="8" t="s">
        <v>302</v>
      </c>
      <c r="J377" s="8" t="s">
        <v>303</v>
      </c>
    </row>
    <row r="378" spans="3:10" ht="12.75" x14ac:dyDescent="0.2">
      <c r="D378" s="9" t="s">
        <v>273</v>
      </c>
      <c r="E378" s="25" t="s">
        <v>344</v>
      </c>
      <c r="F378" s="25" t="s">
        <v>345</v>
      </c>
      <c r="G378" s="25" t="s">
        <v>346</v>
      </c>
      <c r="H378" s="25">
        <v>0.21</v>
      </c>
      <c r="I378" s="25">
        <v>0.5</v>
      </c>
      <c r="J378" s="25">
        <v>-0.48</v>
      </c>
    </row>
    <row r="379" spans="3:10" ht="12.75" x14ac:dyDescent="0.2">
      <c r="D379" s="9" t="s">
        <v>276</v>
      </c>
      <c r="E379" s="25" t="s">
        <v>347</v>
      </c>
      <c r="F379" s="25">
        <v>-518</v>
      </c>
      <c r="G379" s="25" t="s">
        <v>348</v>
      </c>
      <c r="H379" s="25">
        <v>3.82</v>
      </c>
      <c r="I379" s="25">
        <v>0.41</v>
      </c>
      <c r="J379" s="25">
        <v>0.25</v>
      </c>
    </row>
    <row r="380" spans="3:10" ht="12.75" x14ac:dyDescent="0.2">
      <c r="D380" s="9" t="s">
        <v>277</v>
      </c>
      <c r="E380" s="25" t="s">
        <v>349</v>
      </c>
      <c r="F380" s="25" t="s">
        <v>350</v>
      </c>
      <c r="G380" s="25" t="s">
        <v>351</v>
      </c>
      <c r="H380" s="25">
        <v>3.52</v>
      </c>
      <c r="I380" s="25">
        <v>0.4</v>
      </c>
      <c r="J380" s="25">
        <v>0.15</v>
      </c>
    </row>
    <row r="381" spans="3:10" ht="12.75" x14ac:dyDescent="0.2">
      <c r="D381" s="9" t="s">
        <v>278</v>
      </c>
      <c r="E381" s="25" t="s">
        <v>352</v>
      </c>
      <c r="F381" s="25" t="s">
        <v>353</v>
      </c>
      <c r="G381" s="25" t="s">
        <v>354</v>
      </c>
      <c r="H381" s="25">
        <v>8.2799999999999994</v>
      </c>
      <c r="I381" s="25">
        <v>0.43</v>
      </c>
      <c r="J381" s="25">
        <v>1.66</v>
      </c>
    </row>
    <row r="382" spans="3:10" ht="12.75" x14ac:dyDescent="0.2">
      <c r="D382" s="9" t="s">
        <v>279</v>
      </c>
      <c r="E382" s="25" t="s">
        <v>355</v>
      </c>
      <c r="F382" s="25" t="s">
        <v>356</v>
      </c>
      <c r="G382" s="25" t="s">
        <v>357</v>
      </c>
      <c r="H382" s="25">
        <v>2.34</v>
      </c>
      <c r="I382" s="25">
        <v>0.49</v>
      </c>
      <c r="J382" s="25">
        <v>0.11</v>
      </c>
    </row>
    <row r="383" spans="3:10" ht="12.75" x14ac:dyDescent="0.2">
      <c r="D383" s="9" t="s">
        <v>280</v>
      </c>
      <c r="E383" s="25" t="s">
        <v>358</v>
      </c>
      <c r="F383" s="25" t="s">
        <v>359</v>
      </c>
      <c r="G383" s="25" t="s">
        <v>360</v>
      </c>
      <c r="H383" s="25">
        <v>1.96</v>
      </c>
      <c r="I383" s="25">
        <v>0.28000000000000003</v>
      </c>
      <c r="J383" s="25">
        <v>-0.75</v>
      </c>
    </row>
    <row r="384" spans="3:10" ht="12.75" x14ac:dyDescent="0.2">
      <c r="D384" s="9" t="s">
        <v>281</v>
      </c>
      <c r="E384" s="25" t="s">
        <v>361</v>
      </c>
      <c r="F384" s="25" t="s">
        <v>362</v>
      </c>
      <c r="G384" s="25" t="s">
        <v>363</v>
      </c>
      <c r="H384" s="25">
        <v>0.31</v>
      </c>
      <c r="I384" s="25">
        <v>0.36</v>
      </c>
      <c r="J384" s="25">
        <v>-0.95</v>
      </c>
    </row>
    <row r="386" spans="3:10" ht="12.75" x14ac:dyDescent="0.2">
      <c r="C386" s="22">
        <v>5</v>
      </c>
      <c r="D386" s="8" t="s">
        <v>268</v>
      </c>
      <c r="E386" s="8" t="s">
        <v>269</v>
      </c>
      <c r="F386" s="8" t="s">
        <v>270</v>
      </c>
      <c r="G386" s="8" t="s">
        <v>271</v>
      </c>
      <c r="H386" s="8" t="s">
        <v>272</v>
      </c>
      <c r="I386" s="8" t="s">
        <v>302</v>
      </c>
      <c r="J386" s="8" t="s">
        <v>303</v>
      </c>
    </row>
    <row r="387" spans="3:10" ht="12.75" x14ac:dyDescent="0.2">
      <c r="D387" s="9" t="s">
        <v>273</v>
      </c>
      <c r="E387" s="25" t="s">
        <v>364</v>
      </c>
      <c r="F387" s="25" t="s">
        <v>365</v>
      </c>
      <c r="G387" s="25" t="s">
        <v>366</v>
      </c>
      <c r="H387" s="25">
        <v>1.91</v>
      </c>
      <c r="I387" s="25">
        <v>0.53</v>
      </c>
      <c r="J387" s="25">
        <v>0.09</v>
      </c>
    </row>
    <row r="388" spans="3:10" ht="12.75" x14ac:dyDescent="0.2">
      <c r="D388" s="9" t="s">
        <v>276</v>
      </c>
      <c r="E388" s="25" t="s">
        <v>367</v>
      </c>
      <c r="F388" s="25" t="s">
        <v>368</v>
      </c>
      <c r="G388" s="25" t="s">
        <v>369</v>
      </c>
      <c r="H388" s="25">
        <v>1.25</v>
      </c>
      <c r="I388" s="25">
        <v>0.47</v>
      </c>
      <c r="J388" s="25">
        <v>-0.34</v>
      </c>
    </row>
    <row r="389" spans="3:10" ht="12.75" x14ac:dyDescent="0.2">
      <c r="D389" s="9" t="s">
        <v>277</v>
      </c>
      <c r="E389" s="25" t="s">
        <v>370</v>
      </c>
      <c r="F389" s="25" t="s">
        <v>371</v>
      </c>
      <c r="G389" s="25" t="s">
        <v>372</v>
      </c>
      <c r="H389" s="25">
        <v>3.39</v>
      </c>
      <c r="I389" s="25">
        <v>0.42</v>
      </c>
      <c r="J389" s="25">
        <v>0.25</v>
      </c>
    </row>
    <row r="390" spans="3:10" ht="12.75" x14ac:dyDescent="0.2">
      <c r="D390" s="9" t="s">
        <v>278</v>
      </c>
      <c r="E390" s="25" t="s">
        <v>373</v>
      </c>
      <c r="F390" s="25">
        <v>358</v>
      </c>
      <c r="G390" s="25" t="s">
        <v>374</v>
      </c>
      <c r="H390" s="25">
        <v>6.72</v>
      </c>
      <c r="I390" s="25">
        <v>0.48</v>
      </c>
      <c r="J390" s="25">
        <v>1.67</v>
      </c>
    </row>
    <row r="391" spans="3:10" ht="12.75" x14ac:dyDescent="0.2">
      <c r="D391" s="9" t="s">
        <v>279</v>
      </c>
      <c r="E391" s="25" t="s">
        <v>375</v>
      </c>
      <c r="F391" s="25" t="s">
        <v>376</v>
      </c>
      <c r="G391" s="25" t="s">
        <v>377</v>
      </c>
      <c r="H391" s="25">
        <v>2.54</v>
      </c>
      <c r="I391" s="25">
        <v>0.55000000000000004</v>
      </c>
      <c r="J391" s="25">
        <v>0.39</v>
      </c>
    </row>
    <row r="392" spans="3:10" ht="12.75" x14ac:dyDescent="0.2">
      <c r="D392" s="9" t="s">
        <v>280</v>
      </c>
      <c r="E392" s="25" t="s">
        <v>378</v>
      </c>
      <c r="F392" s="25" t="s">
        <v>379</v>
      </c>
      <c r="G392" s="25">
        <v>-445</v>
      </c>
      <c r="H392" s="25">
        <v>1.0900000000000001</v>
      </c>
      <c r="I392" s="25">
        <v>0.32</v>
      </c>
      <c r="J392" s="25">
        <v>-0.91</v>
      </c>
    </row>
    <row r="393" spans="3:10" ht="12.75" x14ac:dyDescent="0.2">
      <c r="D393" s="9" t="s">
        <v>281</v>
      </c>
      <c r="E393" s="25" t="s">
        <v>380</v>
      </c>
      <c r="F393" s="25" t="s">
        <v>381</v>
      </c>
      <c r="G393" s="25" t="s">
        <v>382</v>
      </c>
      <c r="H393" s="25">
        <v>-0.37</v>
      </c>
      <c r="I393" s="25">
        <v>0.4</v>
      </c>
      <c r="J393" s="25">
        <v>-1.1499999999999999</v>
      </c>
    </row>
    <row r="395" spans="3:10" ht="12.75" x14ac:dyDescent="0.2">
      <c r="C395" s="22">
        <v>6</v>
      </c>
      <c r="D395" s="8" t="s">
        <v>268</v>
      </c>
      <c r="E395" s="8" t="s">
        <v>269</v>
      </c>
      <c r="F395" s="8" t="s">
        <v>270</v>
      </c>
      <c r="G395" s="8" t="s">
        <v>271</v>
      </c>
      <c r="H395" s="8" t="s">
        <v>272</v>
      </c>
      <c r="I395" s="8" t="s">
        <v>302</v>
      </c>
      <c r="J395" s="8" t="s">
        <v>303</v>
      </c>
    </row>
    <row r="396" spans="3:10" ht="12.75" x14ac:dyDescent="0.2">
      <c r="D396" s="9" t="s">
        <v>273</v>
      </c>
      <c r="E396" s="25" t="s">
        <v>383</v>
      </c>
      <c r="F396" s="25" t="s">
        <v>384</v>
      </c>
      <c r="G396" s="25" t="s">
        <v>385</v>
      </c>
      <c r="H396" s="25">
        <v>5.28</v>
      </c>
      <c r="I396" s="25">
        <v>0.54</v>
      </c>
      <c r="J396" s="25">
        <v>0.1</v>
      </c>
    </row>
    <row r="397" spans="3:10" ht="12.75" x14ac:dyDescent="0.2">
      <c r="D397" s="9" t="s">
        <v>276</v>
      </c>
      <c r="E397" s="25" t="s">
        <v>386</v>
      </c>
      <c r="F397" s="25" t="s">
        <v>387</v>
      </c>
      <c r="G397" s="25" t="s">
        <v>388</v>
      </c>
      <c r="H397" s="25">
        <v>4.8899999999999997</v>
      </c>
      <c r="I397" s="25">
        <v>0.51</v>
      </c>
      <c r="J397" s="25">
        <v>-0.13</v>
      </c>
    </row>
    <row r="398" spans="3:10" ht="12.75" x14ac:dyDescent="0.2">
      <c r="D398" s="9" t="s">
        <v>277</v>
      </c>
      <c r="E398" s="25" t="s">
        <v>389</v>
      </c>
      <c r="F398" s="25" t="s">
        <v>390</v>
      </c>
      <c r="G398" s="25" t="s">
        <v>391</v>
      </c>
      <c r="H398" s="25">
        <v>5.58</v>
      </c>
      <c r="I398" s="25">
        <v>0.43</v>
      </c>
      <c r="J398" s="25">
        <v>-0.14000000000000001</v>
      </c>
    </row>
    <row r="399" spans="3:10" ht="12.75" x14ac:dyDescent="0.2">
      <c r="D399" s="9" t="s">
        <v>278</v>
      </c>
      <c r="E399" s="25" t="s">
        <v>392</v>
      </c>
      <c r="F399" s="25" t="s">
        <v>393</v>
      </c>
      <c r="G399" s="25">
        <v>-943</v>
      </c>
      <c r="H399" s="25">
        <v>10.220000000000001</v>
      </c>
      <c r="I399" s="25">
        <v>0.52</v>
      </c>
      <c r="J399" s="25">
        <v>1.81</v>
      </c>
    </row>
    <row r="400" spans="3:10" ht="12.75" x14ac:dyDescent="0.2">
      <c r="D400" s="9" t="s">
        <v>279</v>
      </c>
      <c r="E400" s="25" t="s">
        <v>394</v>
      </c>
      <c r="F400" s="25" t="s">
        <v>395</v>
      </c>
      <c r="G400" s="25" t="s">
        <v>396</v>
      </c>
      <c r="H400" s="25">
        <v>5.75</v>
      </c>
      <c r="I400" s="25">
        <v>0.59</v>
      </c>
      <c r="J400" s="25">
        <v>0.44</v>
      </c>
    </row>
    <row r="401" spans="4:10" ht="12.75" x14ac:dyDescent="0.2">
      <c r="D401" s="9" t="s">
        <v>280</v>
      </c>
      <c r="E401" s="25" t="s">
        <v>397</v>
      </c>
      <c r="F401" s="25" t="s">
        <v>398</v>
      </c>
      <c r="G401" s="25" t="s">
        <v>399</v>
      </c>
      <c r="H401" s="25">
        <v>3.36</v>
      </c>
      <c r="I401" s="25">
        <v>0.34</v>
      </c>
      <c r="J401" s="25">
        <v>-1.2</v>
      </c>
    </row>
    <row r="402" spans="4:10" ht="12.75" x14ac:dyDescent="0.2">
      <c r="D402" s="9" t="s">
        <v>281</v>
      </c>
      <c r="E402" s="25" t="s">
        <v>400</v>
      </c>
      <c r="F402" s="25" t="s">
        <v>401</v>
      </c>
      <c r="G402" s="25" t="s">
        <v>402</v>
      </c>
      <c r="H402" s="25">
        <v>3.75</v>
      </c>
      <c r="I402" s="25">
        <v>0.4</v>
      </c>
      <c r="J402" s="25">
        <v>-0.87</v>
      </c>
    </row>
  </sheetData>
  <mergeCells count="592">
    <mergeCell ref="E307:I307"/>
    <mergeCell ref="J307:S307"/>
    <mergeCell ref="T307:AC307"/>
    <mergeCell ref="AD307:AJ307"/>
    <mergeCell ref="E308:I308"/>
    <mergeCell ref="J308:S308"/>
    <mergeCell ref="T308:AC308"/>
    <mergeCell ref="AD308:AJ308"/>
    <mergeCell ref="J309:S309"/>
    <mergeCell ref="T309:AC309"/>
    <mergeCell ref="AD309:AJ309"/>
    <mergeCell ref="E289:I289"/>
    <mergeCell ref="J289:S289"/>
    <mergeCell ref="T289:AC289"/>
    <mergeCell ref="AD289:AJ289"/>
    <mergeCell ref="D290:I290"/>
    <mergeCell ref="AD290:AJ290"/>
    <mergeCell ref="J290:S290"/>
    <mergeCell ref="T290:AC290"/>
    <mergeCell ref="D292:H292"/>
    <mergeCell ref="I292:W292"/>
    <mergeCell ref="X292:AA292"/>
    <mergeCell ref="AB292:AC292"/>
    <mergeCell ref="AD292:AH292"/>
    <mergeCell ref="D286:I286"/>
    <mergeCell ref="AD286:AJ286"/>
    <mergeCell ref="J286:S286"/>
    <mergeCell ref="T286:AC286"/>
    <mergeCell ref="E287:I287"/>
    <mergeCell ref="J287:S287"/>
    <mergeCell ref="T287:AC287"/>
    <mergeCell ref="AD287:AJ287"/>
    <mergeCell ref="D288:I288"/>
    <mergeCell ref="AD288:AJ288"/>
    <mergeCell ref="J288:S288"/>
    <mergeCell ref="T288:AC288"/>
    <mergeCell ref="E283:I283"/>
    <mergeCell ref="J283:S283"/>
    <mergeCell ref="T283:AC283"/>
    <mergeCell ref="AD283:AJ283"/>
    <mergeCell ref="D284:I284"/>
    <mergeCell ref="AD284:AJ284"/>
    <mergeCell ref="J284:S284"/>
    <mergeCell ref="T284:AC284"/>
    <mergeCell ref="E285:I285"/>
    <mergeCell ref="J285:S285"/>
    <mergeCell ref="T285:AC285"/>
    <mergeCell ref="AD285:AJ285"/>
    <mergeCell ref="J280:S280"/>
    <mergeCell ref="T280:AC280"/>
    <mergeCell ref="E281:I281"/>
    <mergeCell ref="J281:S281"/>
    <mergeCell ref="T281:AC281"/>
    <mergeCell ref="AD281:AJ281"/>
    <mergeCell ref="D282:I282"/>
    <mergeCell ref="AD282:AJ282"/>
    <mergeCell ref="J282:S282"/>
    <mergeCell ref="T282:AC282"/>
    <mergeCell ref="I275:W275"/>
    <mergeCell ref="X275:AA275"/>
    <mergeCell ref="J272:S272"/>
    <mergeCell ref="T272:AC272"/>
    <mergeCell ref="D273:I273"/>
    <mergeCell ref="J273:S273"/>
    <mergeCell ref="T273:AC273"/>
    <mergeCell ref="AD273:AJ273"/>
    <mergeCell ref="D275:H275"/>
    <mergeCell ref="AB275:AC275"/>
    <mergeCell ref="AD275:AH275"/>
    <mergeCell ref="AD270:AJ270"/>
    <mergeCell ref="J270:S270"/>
    <mergeCell ref="T270:AC270"/>
    <mergeCell ref="D271:I271"/>
    <mergeCell ref="J271:S271"/>
    <mergeCell ref="T271:AC271"/>
    <mergeCell ref="AD271:AJ271"/>
    <mergeCell ref="E272:I272"/>
    <mergeCell ref="AD272:AJ272"/>
    <mergeCell ref="J325:S325"/>
    <mergeCell ref="T325:AC325"/>
    <mergeCell ref="AD325:AJ325"/>
    <mergeCell ref="T327:AC327"/>
    <mergeCell ref="AD327:AJ327"/>
    <mergeCell ref="T339:AC339"/>
    <mergeCell ref="AD339:AJ339"/>
    <mergeCell ref="D265:I265"/>
    <mergeCell ref="J265:S265"/>
    <mergeCell ref="T265:AC265"/>
    <mergeCell ref="AD265:AJ265"/>
    <mergeCell ref="J266:S266"/>
    <mergeCell ref="T266:AC266"/>
    <mergeCell ref="AD266:AJ266"/>
    <mergeCell ref="E266:I266"/>
    <mergeCell ref="D267:I267"/>
    <mergeCell ref="J267:S267"/>
    <mergeCell ref="T267:AC267"/>
    <mergeCell ref="AD267:AJ267"/>
    <mergeCell ref="E268:I268"/>
    <mergeCell ref="J268:S268"/>
    <mergeCell ref="T268:AC268"/>
    <mergeCell ref="AD268:AJ268"/>
    <mergeCell ref="D269:I269"/>
    <mergeCell ref="E316:I316"/>
    <mergeCell ref="J316:S316"/>
    <mergeCell ref="T316:AC316"/>
    <mergeCell ref="AD316:AJ316"/>
    <mergeCell ref="J317:S317"/>
    <mergeCell ref="T317:AC317"/>
    <mergeCell ref="AD317:AJ317"/>
    <mergeCell ref="E317:I317"/>
    <mergeCell ref="E318:I318"/>
    <mergeCell ref="J318:S318"/>
    <mergeCell ref="T318:AC318"/>
    <mergeCell ref="AD318:AJ318"/>
    <mergeCell ref="E336:I336"/>
    <mergeCell ref="J336:S336"/>
    <mergeCell ref="T336:AC336"/>
    <mergeCell ref="AD336:AJ336"/>
    <mergeCell ref="J337:S337"/>
    <mergeCell ref="T337:AC337"/>
    <mergeCell ref="AD337:AJ337"/>
    <mergeCell ref="E340:I340"/>
    <mergeCell ref="J340:S340"/>
    <mergeCell ref="T340:AC340"/>
    <mergeCell ref="AD340:AJ340"/>
    <mergeCell ref="E337:I337"/>
    <mergeCell ref="E338:I338"/>
    <mergeCell ref="J338:S338"/>
    <mergeCell ref="T338:AC338"/>
    <mergeCell ref="AD338:AJ338"/>
    <mergeCell ref="E339:I339"/>
    <mergeCell ref="J339:S339"/>
    <mergeCell ref="T335:AC335"/>
    <mergeCell ref="AD335:AJ335"/>
    <mergeCell ref="D332:H332"/>
    <mergeCell ref="E334:I334"/>
    <mergeCell ref="J334:S334"/>
    <mergeCell ref="T334:AC334"/>
    <mergeCell ref="AD334:AJ334"/>
    <mergeCell ref="E335:I335"/>
    <mergeCell ref="J335:S335"/>
    <mergeCell ref="E328:I328"/>
    <mergeCell ref="J328:S328"/>
    <mergeCell ref="T328:AC328"/>
    <mergeCell ref="AD328:AJ328"/>
    <mergeCell ref="J329:S329"/>
    <mergeCell ref="T329:AC329"/>
    <mergeCell ref="AD329:AJ329"/>
    <mergeCell ref="X332:AA332"/>
    <mergeCell ref="AB332:AC332"/>
    <mergeCell ref="E329:I329"/>
    <mergeCell ref="E330:I330"/>
    <mergeCell ref="J330:S330"/>
    <mergeCell ref="T330:AC330"/>
    <mergeCell ref="AD330:AJ330"/>
    <mergeCell ref="I332:W332"/>
    <mergeCell ref="AD332:AH332"/>
    <mergeCell ref="T319:AC319"/>
    <mergeCell ref="AD319:AJ319"/>
    <mergeCell ref="E325:I325"/>
    <mergeCell ref="E326:I326"/>
    <mergeCell ref="J326:S326"/>
    <mergeCell ref="T326:AC326"/>
    <mergeCell ref="AD326:AJ326"/>
    <mergeCell ref="E327:I327"/>
    <mergeCell ref="J327:S327"/>
    <mergeCell ref="E319:I319"/>
    <mergeCell ref="J319:S319"/>
    <mergeCell ref="AB322:AC322"/>
    <mergeCell ref="AD322:AH322"/>
    <mergeCell ref="E320:I320"/>
    <mergeCell ref="J320:S320"/>
    <mergeCell ref="T320:AC320"/>
    <mergeCell ref="AD320:AJ320"/>
    <mergeCell ref="D322:H322"/>
    <mergeCell ref="I322:W322"/>
    <mergeCell ref="X322:AA322"/>
    <mergeCell ref="E324:I324"/>
    <mergeCell ref="J324:S324"/>
    <mergeCell ref="T324:AC324"/>
    <mergeCell ref="AD324:AJ324"/>
    <mergeCell ref="T305:AC305"/>
    <mergeCell ref="AD305:AJ305"/>
    <mergeCell ref="T306:AC306"/>
    <mergeCell ref="AD306:AJ306"/>
    <mergeCell ref="E299:I299"/>
    <mergeCell ref="E300:I300"/>
    <mergeCell ref="J300:S300"/>
    <mergeCell ref="T300:AC300"/>
    <mergeCell ref="AD300:AJ300"/>
    <mergeCell ref="I302:W302"/>
    <mergeCell ref="AD302:AH302"/>
    <mergeCell ref="D302:H302"/>
    <mergeCell ref="E304:I304"/>
    <mergeCell ref="J304:S304"/>
    <mergeCell ref="E305:I305"/>
    <mergeCell ref="J305:S305"/>
    <mergeCell ref="E306:I306"/>
    <mergeCell ref="J306:S306"/>
    <mergeCell ref="E294:I294"/>
    <mergeCell ref="J294:S294"/>
    <mergeCell ref="T294:AC294"/>
    <mergeCell ref="AD294:AJ294"/>
    <mergeCell ref="J295:S295"/>
    <mergeCell ref="T295:AC295"/>
    <mergeCell ref="AD295:AJ295"/>
    <mergeCell ref="E295:I295"/>
    <mergeCell ref="E296:I296"/>
    <mergeCell ref="J296:S296"/>
    <mergeCell ref="T296:AC296"/>
    <mergeCell ref="AD296:AJ296"/>
    <mergeCell ref="T315:AC315"/>
    <mergeCell ref="AD315:AJ315"/>
    <mergeCell ref="D312:H312"/>
    <mergeCell ref="E314:I314"/>
    <mergeCell ref="J314:S314"/>
    <mergeCell ref="T314:AC314"/>
    <mergeCell ref="AD314:AJ314"/>
    <mergeCell ref="E315:I315"/>
    <mergeCell ref="J315:S315"/>
    <mergeCell ref="T297:AC297"/>
    <mergeCell ref="AD297:AJ297"/>
    <mergeCell ref="X312:AA312"/>
    <mergeCell ref="AB312:AC312"/>
    <mergeCell ref="E309:I309"/>
    <mergeCell ref="E310:I310"/>
    <mergeCell ref="J310:S310"/>
    <mergeCell ref="T310:AC310"/>
    <mergeCell ref="AD310:AJ310"/>
    <mergeCell ref="I312:W312"/>
    <mergeCell ref="AD312:AH312"/>
    <mergeCell ref="E297:I297"/>
    <mergeCell ref="J297:S297"/>
    <mergeCell ref="E298:I298"/>
    <mergeCell ref="J298:S298"/>
    <mergeCell ref="T298:AC298"/>
    <mergeCell ref="AD298:AJ298"/>
    <mergeCell ref="J299:S299"/>
    <mergeCell ref="T299:AC299"/>
    <mergeCell ref="AD299:AJ299"/>
    <mergeCell ref="X302:AA302"/>
    <mergeCell ref="AB302:AC302"/>
    <mergeCell ref="T304:AC304"/>
    <mergeCell ref="AD304:AJ304"/>
    <mergeCell ref="E279:I279"/>
    <mergeCell ref="J279:S279"/>
    <mergeCell ref="T279:AC279"/>
    <mergeCell ref="AD279:AJ279"/>
    <mergeCell ref="D280:I280"/>
    <mergeCell ref="AD280:AJ280"/>
    <mergeCell ref="J250:S250"/>
    <mergeCell ref="T250:AC250"/>
    <mergeCell ref="E251:I251"/>
    <mergeCell ref="J251:S251"/>
    <mergeCell ref="T251:AC251"/>
    <mergeCell ref="AD251:AJ251"/>
    <mergeCell ref="D252:I252"/>
    <mergeCell ref="AD252:AJ252"/>
    <mergeCell ref="J252:S252"/>
    <mergeCell ref="T252:AC252"/>
    <mergeCell ref="E253:I253"/>
    <mergeCell ref="J253:S253"/>
    <mergeCell ref="T253:AC253"/>
    <mergeCell ref="AD253:AJ253"/>
    <mergeCell ref="D254:I254"/>
    <mergeCell ref="E255:I255"/>
    <mergeCell ref="J255:S255"/>
    <mergeCell ref="T255:AC255"/>
    <mergeCell ref="E277:I277"/>
    <mergeCell ref="J277:S277"/>
    <mergeCell ref="T277:AC277"/>
    <mergeCell ref="AD277:AJ277"/>
    <mergeCell ref="D278:I278"/>
    <mergeCell ref="AD278:AJ278"/>
    <mergeCell ref="J278:S278"/>
    <mergeCell ref="T278:AC278"/>
    <mergeCell ref="J262:S262"/>
    <mergeCell ref="T262:AC262"/>
    <mergeCell ref="AD262:AJ262"/>
    <mergeCell ref="E262:I262"/>
    <mergeCell ref="D263:I263"/>
    <mergeCell ref="J263:S263"/>
    <mergeCell ref="T263:AC263"/>
    <mergeCell ref="AD263:AJ263"/>
    <mergeCell ref="E264:I264"/>
    <mergeCell ref="J264:S264"/>
    <mergeCell ref="T264:AC264"/>
    <mergeCell ref="AD264:AJ264"/>
    <mergeCell ref="J269:S269"/>
    <mergeCell ref="T269:AC269"/>
    <mergeCell ref="AD269:AJ269"/>
    <mergeCell ref="E270:I270"/>
    <mergeCell ref="E249:I249"/>
    <mergeCell ref="J249:S249"/>
    <mergeCell ref="T249:AC249"/>
    <mergeCell ref="AD249:AJ249"/>
    <mergeCell ref="D250:I250"/>
    <mergeCell ref="AD250:AJ250"/>
    <mergeCell ref="D261:I261"/>
    <mergeCell ref="J261:S261"/>
    <mergeCell ref="T261:AC261"/>
    <mergeCell ref="AD261:AJ261"/>
    <mergeCell ref="AD255:AJ255"/>
    <mergeCell ref="J256:S256"/>
    <mergeCell ref="T256:AC256"/>
    <mergeCell ref="AD256:AJ256"/>
    <mergeCell ref="J260:S260"/>
    <mergeCell ref="T260:AC260"/>
    <mergeCell ref="AD260:AJ260"/>
    <mergeCell ref="D256:I256"/>
    <mergeCell ref="D258:H258"/>
    <mergeCell ref="I258:W258"/>
    <mergeCell ref="X258:AA258"/>
    <mergeCell ref="AB258:AC258"/>
    <mergeCell ref="AD258:AH258"/>
    <mergeCell ref="E260:I260"/>
    <mergeCell ref="J246:S246"/>
    <mergeCell ref="T246:AC246"/>
    <mergeCell ref="E247:I247"/>
    <mergeCell ref="J247:S247"/>
    <mergeCell ref="T247:AC247"/>
    <mergeCell ref="AD247:AJ247"/>
    <mergeCell ref="D248:I248"/>
    <mergeCell ref="AD248:AJ248"/>
    <mergeCell ref="J248:S248"/>
    <mergeCell ref="T248:AC248"/>
    <mergeCell ref="I241:W241"/>
    <mergeCell ref="X241:AA241"/>
    <mergeCell ref="J238:S238"/>
    <mergeCell ref="T238:AC238"/>
    <mergeCell ref="D239:I239"/>
    <mergeCell ref="J239:S239"/>
    <mergeCell ref="T239:AC239"/>
    <mergeCell ref="AD239:AJ239"/>
    <mergeCell ref="D241:H241"/>
    <mergeCell ref="E236:I236"/>
    <mergeCell ref="AD236:AJ236"/>
    <mergeCell ref="J236:S236"/>
    <mergeCell ref="T236:AC236"/>
    <mergeCell ref="D237:I237"/>
    <mergeCell ref="J237:S237"/>
    <mergeCell ref="T237:AC237"/>
    <mergeCell ref="AD237:AJ237"/>
    <mergeCell ref="E238:I238"/>
    <mergeCell ref="AD238:AJ238"/>
    <mergeCell ref="D233:I233"/>
    <mergeCell ref="J233:S233"/>
    <mergeCell ref="T233:AC233"/>
    <mergeCell ref="AD233:AJ233"/>
    <mergeCell ref="E234:I234"/>
    <mergeCell ref="AD234:AJ234"/>
    <mergeCell ref="J234:S234"/>
    <mergeCell ref="T234:AC234"/>
    <mergeCell ref="D235:I235"/>
    <mergeCell ref="J235:S235"/>
    <mergeCell ref="T235:AC235"/>
    <mergeCell ref="AD235:AJ235"/>
    <mergeCell ref="J230:S230"/>
    <mergeCell ref="T230:AC230"/>
    <mergeCell ref="D231:I231"/>
    <mergeCell ref="J231:S231"/>
    <mergeCell ref="T231:AC231"/>
    <mergeCell ref="AD231:AJ231"/>
    <mergeCell ref="E232:I232"/>
    <mergeCell ref="AD232:AJ232"/>
    <mergeCell ref="J232:S232"/>
    <mergeCell ref="T232:AC232"/>
    <mergeCell ref="J254:S254"/>
    <mergeCell ref="T254:AC254"/>
    <mergeCell ref="AD254:AJ254"/>
    <mergeCell ref="E222:I222"/>
    <mergeCell ref="J222:S222"/>
    <mergeCell ref="T222:AC222"/>
    <mergeCell ref="AD222:AJ222"/>
    <mergeCell ref="J223:S223"/>
    <mergeCell ref="T223:AC223"/>
    <mergeCell ref="AD223:AJ223"/>
    <mergeCell ref="D223:I223"/>
    <mergeCell ref="D224:H224"/>
    <mergeCell ref="I224:W224"/>
    <mergeCell ref="X224:AA224"/>
    <mergeCell ref="AB224:AC224"/>
    <mergeCell ref="AD224:AH224"/>
    <mergeCell ref="E226:I226"/>
    <mergeCell ref="AD226:AJ226"/>
    <mergeCell ref="J226:S226"/>
    <mergeCell ref="T226:AC226"/>
    <mergeCell ref="D227:I227"/>
    <mergeCell ref="J227:S227"/>
    <mergeCell ref="T227:AC227"/>
    <mergeCell ref="AD227:AJ227"/>
    <mergeCell ref="J215:S215"/>
    <mergeCell ref="T215:AC215"/>
    <mergeCell ref="AD215:AJ215"/>
    <mergeCell ref="T217:AC217"/>
    <mergeCell ref="AD217:AJ217"/>
    <mergeCell ref="D215:I215"/>
    <mergeCell ref="E216:I216"/>
    <mergeCell ref="J216:S216"/>
    <mergeCell ref="T216:AC216"/>
    <mergeCell ref="AD216:AJ216"/>
    <mergeCell ref="D217:I217"/>
    <mergeCell ref="J217:S217"/>
    <mergeCell ref="E245:I245"/>
    <mergeCell ref="J245:S245"/>
    <mergeCell ref="T245:AC245"/>
    <mergeCell ref="AD245:AJ245"/>
    <mergeCell ref="D246:I246"/>
    <mergeCell ref="AD246:AJ246"/>
    <mergeCell ref="E210:I210"/>
    <mergeCell ref="J210:S210"/>
    <mergeCell ref="T210:AC210"/>
    <mergeCell ref="AD210:AJ210"/>
    <mergeCell ref="J211:S211"/>
    <mergeCell ref="T211:AC211"/>
    <mergeCell ref="AD211:AJ211"/>
    <mergeCell ref="D211:I211"/>
    <mergeCell ref="E212:I212"/>
    <mergeCell ref="J212:S212"/>
    <mergeCell ref="T212:AC212"/>
    <mergeCell ref="AD212:AJ212"/>
    <mergeCell ref="D213:I213"/>
    <mergeCell ref="J213:S213"/>
    <mergeCell ref="E214:I214"/>
    <mergeCell ref="J214:S214"/>
    <mergeCell ref="T214:AC214"/>
    <mergeCell ref="AD214:AJ214"/>
    <mergeCell ref="D221:I221"/>
    <mergeCell ref="J221:S221"/>
    <mergeCell ref="AB241:AC241"/>
    <mergeCell ref="AD241:AH241"/>
    <mergeCell ref="E243:I243"/>
    <mergeCell ref="J243:S243"/>
    <mergeCell ref="T243:AC243"/>
    <mergeCell ref="AD243:AJ243"/>
    <mergeCell ref="D244:I244"/>
    <mergeCell ref="AD244:AJ244"/>
    <mergeCell ref="J244:S244"/>
    <mergeCell ref="T244:AC244"/>
    <mergeCell ref="T221:AC221"/>
    <mergeCell ref="AD221:AJ221"/>
    <mergeCell ref="E228:I228"/>
    <mergeCell ref="AD228:AJ228"/>
    <mergeCell ref="J228:S228"/>
    <mergeCell ref="T228:AC228"/>
    <mergeCell ref="D229:I229"/>
    <mergeCell ref="J229:S229"/>
    <mergeCell ref="T229:AC229"/>
    <mergeCell ref="AD229:AJ229"/>
    <mergeCell ref="E230:I230"/>
    <mergeCell ref="AD230:AJ230"/>
    <mergeCell ref="E218:I218"/>
    <mergeCell ref="J218:S218"/>
    <mergeCell ref="T218:AC218"/>
    <mergeCell ref="AD218:AJ218"/>
    <mergeCell ref="J219:S219"/>
    <mergeCell ref="T219:AC219"/>
    <mergeCell ref="AD219:AJ219"/>
    <mergeCell ref="D219:I219"/>
    <mergeCell ref="E220:I220"/>
    <mergeCell ref="J220:S220"/>
    <mergeCell ref="T220:AC220"/>
    <mergeCell ref="AD220:AJ220"/>
    <mergeCell ref="E206:I206"/>
    <mergeCell ref="J206:S206"/>
    <mergeCell ref="T206:AC206"/>
    <mergeCell ref="AD206:AJ206"/>
    <mergeCell ref="D207:I207"/>
    <mergeCell ref="AD207:AJ207"/>
    <mergeCell ref="J207:S207"/>
    <mergeCell ref="T207:AC207"/>
    <mergeCell ref="D208:H208"/>
    <mergeCell ref="I208:W208"/>
    <mergeCell ref="X208:AA208"/>
    <mergeCell ref="AB208:AC208"/>
    <mergeCell ref="AD208:AH208"/>
    <mergeCell ref="D203:I203"/>
    <mergeCell ref="AD203:AJ203"/>
    <mergeCell ref="J203:S203"/>
    <mergeCell ref="T203:AC203"/>
    <mergeCell ref="E204:I204"/>
    <mergeCell ref="J204:S204"/>
    <mergeCell ref="T204:AC204"/>
    <mergeCell ref="AD204:AJ204"/>
    <mergeCell ref="D205:I205"/>
    <mergeCell ref="AD205:AJ205"/>
    <mergeCell ref="J205:S205"/>
    <mergeCell ref="T205:AC205"/>
    <mergeCell ref="E200:I200"/>
    <mergeCell ref="J200:S200"/>
    <mergeCell ref="T200:AC200"/>
    <mergeCell ref="AD200:AJ200"/>
    <mergeCell ref="D201:I201"/>
    <mergeCell ref="AD201:AJ201"/>
    <mergeCell ref="J201:S201"/>
    <mergeCell ref="T201:AC201"/>
    <mergeCell ref="E202:I202"/>
    <mergeCell ref="J202:S202"/>
    <mergeCell ref="T202:AC202"/>
    <mergeCell ref="AD202:AJ202"/>
    <mergeCell ref="J197:S197"/>
    <mergeCell ref="T197:AC197"/>
    <mergeCell ref="E198:I198"/>
    <mergeCell ref="J198:S198"/>
    <mergeCell ref="T198:AC198"/>
    <mergeCell ref="AD198:AJ198"/>
    <mergeCell ref="D199:I199"/>
    <mergeCell ref="AD199:AJ199"/>
    <mergeCell ref="J199:S199"/>
    <mergeCell ref="T199:AC199"/>
    <mergeCell ref="D197:I197"/>
    <mergeCell ref="AD197:AJ197"/>
    <mergeCell ref="AD188:AJ188"/>
    <mergeCell ref="E188:I188"/>
    <mergeCell ref="D189:I189"/>
    <mergeCell ref="J189:S189"/>
    <mergeCell ref="T189:AC189"/>
    <mergeCell ref="AD189:AJ189"/>
    <mergeCell ref="E190:I190"/>
    <mergeCell ref="J190:S190"/>
    <mergeCell ref="I192:W192"/>
    <mergeCell ref="X192:AA192"/>
    <mergeCell ref="T190:AC190"/>
    <mergeCell ref="AD190:AJ190"/>
    <mergeCell ref="D191:I191"/>
    <mergeCell ref="J191:S191"/>
    <mergeCell ref="T191:AC191"/>
    <mergeCell ref="AD191:AJ191"/>
    <mergeCell ref="D192:H192"/>
    <mergeCell ref="AB192:AC192"/>
    <mergeCell ref="AD192:AH192"/>
    <mergeCell ref="T186:AC186"/>
    <mergeCell ref="AD186:AJ186"/>
    <mergeCell ref="T213:AC213"/>
    <mergeCell ref="AD213:AJ213"/>
    <mergeCell ref="D183:I183"/>
    <mergeCell ref="J183:S183"/>
    <mergeCell ref="T183:AC183"/>
    <mergeCell ref="AD183:AJ183"/>
    <mergeCell ref="J184:S184"/>
    <mergeCell ref="T184:AC184"/>
    <mergeCell ref="AD184:AJ184"/>
    <mergeCell ref="E184:I184"/>
    <mergeCell ref="D185:I185"/>
    <mergeCell ref="J185:S185"/>
    <mergeCell ref="T185:AC185"/>
    <mergeCell ref="AD185:AJ185"/>
    <mergeCell ref="E186:I186"/>
    <mergeCell ref="J186:S186"/>
    <mergeCell ref="D187:I187"/>
    <mergeCell ref="J187:S187"/>
    <mergeCell ref="T187:AC187"/>
    <mergeCell ref="AD187:AJ187"/>
    <mergeCell ref="J188:S188"/>
    <mergeCell ref="T188:AC188"/>
    <mergeCell ref="T178:AC178"/>
    <mergeCell ref="AD178:AJ178"/>
    <mergeCell ref="D176:H176"/>
    <mergeCell ref="I176:W176"/>
    <mergeCell ref="X176:AA176"/>
    <mergeCell ref="AB176:AC176"/>
    <mergeCell ref="AD176:AH176"/>
    <mergeCell ref="E178:I178"/>
    <mergeCell ref="J178:S178"/>
    <mergeCell ref="D179:I179"/>
    <mergeCell ref="J179:S179"/>
    <mergeCell ref="T179:AC179"/>
    <mergeCell ref="AD179:AJ179"/>
    <mergeCell ref="J180:S180"/>
    <mergeCell ref="T180:AC180"/>
    <mergeCell ref="AD180:AJ180"/>
    <mergeCell ref="T182:AC182"/>
    <mergeCell ref="AD182:AJ182"/>
    <mergeCell ref="E180:I180"/>
    <mergeCell ref="D181:I181"/>
    <mergeCell ref="J181:S181"/>
    <mergeCell ref="T181:AC181"/>
    <mergeCell ref="AD181:AJ181"/>
    <mergeCell ref="E182:I182"/>
    <mergeCell ref="J182:S182"/>
    <mergeCell ref="E194:I194"/>
    <mergeCell ref="J194:S194"/>
    <mergeCell ref="T194:AC194"/>
    <mergeCell ref="AD194:AJ194"/>
    <mergeCell ref="D195:I195"/>
    <mergeCell ref="AD195:AJ195"/>
    <mergeCell ref="J195:S195"/>
    <mergeCell ref="T195:AC195"/>
    <mergeCell ref="E196:I196"/>
    <mergeCell ref="J196:S196"/>
    <mergeCell ref="T196:AC196"/>
    <mergeCell ref="AD196:AJ19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outlinePr summaryBelow="0" summaryRight="0"/>
  </sheetPr>
  <dimension ref="A2:I13"/>
  <sheetViews>
    <sheetView workbookViewId="0"/>
  </sheetViews>
  <sheetFormatPr baseColWidth="10" defaultColWidth="12.5703125" defaultRowHeight="15.75" customHeight="1" x14ac:dyDescent="0.2"/>
  <sheetData>
    <row r="2" spans="1:9" x14ac:dyDescent="0.2">
      <c r="B2" s="22" t="s">
        <v>403</v>
      </c>
      <c r="C2" s="22" t="s">
        <v>404</v>
      </c>
      <c r="E2" s="22" t="s">
        <v>405</v>
      </c>
      <c r="F2" s="22" t="s">
        <v>406</v>
      </c>
      <c r="G2" s="22" t="s">
        <v>404</v>
      </c>
      <c r="H2" s="22" t="s">
        <v>407</v>
      </c>
      <c r="I2" s="22" t="s">
        <v>408</v>
      </c>
    </row>
    <row r="3" spans="1:9" x14ac:dyDescent="0.2">
      <c r="A3" s="22" t="s">
        <v>409</v>
      </c>
      <c r="B3" s="22">
        <v>200</v>
      </c>
      <c r="C3" s="22">
        <v>7500</v>
      </c>
      <c r="E3" s="22">
        <v>0.2</v>
      </c>
      <c r="F3" s="22">
        <v>1</v>
      </c>
      <c r="G3" s="22">
        <v>7500</v>
      </c>
      <c r="H3" s="22">
        <f t="shared" ref="H3:H4" si="0">G3/1000</f>
        <v>7.5</v>
      </c>
      <c r="I3" s="22">
        <f t="shared" ref="I3:I5" si="1">H3/10</f>
        <v>0.75</v>
      </c>
    </row>
    <row r="4" spans="1:9" x14ac:dyDescent="0.2">
      <c r="B4" s="22">
        <v>1</v>
      </c>
      <c r="C4" s="22">
        <f>C3/B3</f>
        <v>37.5</v>
      </c>
      <c r="E4" s="22">
        <f t="shared" ref="E4:E5" si="2">F4 *E3</f>
        <v>12</v>
      </c>
      <c r="F4" s="22">
        <v>60</v>
      </c>
      <c r="G4" s="22">
        <f>$G$3 *F4</f>
        <v>450000</v>
      </c>
      <c r="H4" s="22">
        <f t="shared" si="0"/>
        <v>450</v>
      </c>
      <c r="I4" s="22">
        <f t="shared" si="1"/>
        <v>45</v>
      </c>
    </row>
    <row r="5" spans="1:9" x14ac:dyDescent="0.2">
      <c r="E5" s="22">
        <f t="shared" si="2"/>
        <v>4480</v>
      </c>
      <c r="F5" s="22">
        <f>G5/G3</f>
        <v>373.33333333333331</v>
      </c>
      <c r="G5" s="22">
        <f>H5 *1000</f>
        <v>2800000</v>
      </c>
      <c r="H5" s="22">
        <v>2800</v>
      </c>
      <c r="I5" s="22">
        <f t="shared" si="1"/>
        <v>280</v>
      </c>
    </row>
    <row r="6" spans="1:9" x14ac:dyDescent="0.2">
      <c r="B6" s="22">
        <v>50</v>
      </c>
      <c r="C6" s="22">
        <f>B6*C7</f>
        <v>2812.5</v>
      </c>
    </row>
    <row r="7" spans="1:9" x14ac:dyDescent="0.2">
      <c r="B7" s="22">
        <v>1</v>
      </c>
      <c r="C7" s="22">
        <f>C4*1.5</f>
        <v>56.25</v>
      </c>
    </row>
    <row r="9" spans="1:9" x14ac:dyDescent="0.2">
      <c r="B9" s="22">
        <v>200</v>
      </c>
      <c r="C9" s="22">
        <f>B9*C10</f>
        <v>11250</v>
      </c>
    </row>
    <row r="10" spans="1:9" x14ac:dyDescent="0.2">
      <c r="B10" s="22">
        <v>1</v>
      </c>
      <c r="C10" s="22">
        <v>56.25</v>
      </c>
    </row>
    <row r="13" spans="1:9" x14ac:dyDescent="0.2">
      <c r="B13" s="22" t="s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A535-0A7C-4C48-9176-8352FF9F5699}">
  <sheetPr codeName="Feuil7"/>
  <dimension ref="A1:C7"/>
  <sheetViews>
    <sheetView workbookViewId="0">
      <selection activeCell="A7" sqref="A7"/>
    </sheetView>
  </sheetViews>
  <sheetFormatPr baseColWidth="10" defaultColWidth="11.42578125" defaultRowHeight="12.75" x14ac:dyDescent="0.2"/>
  <cols>
    <col min="1" max="1" width="7.7109375" bestFit="1" customWidth="1"/>
    <col min="2" max="2" width="16.42578125" bestFit="1" customWidth="1"/>
    <col min="3" max="3" width="11" bestFit="1" customWidth="1"/>
    <col min="5" max="5" width="11.5703125" bestFit="1" customWidth="1"/>
    <col min="6" max="6" width="5.42578125" bestFit="1" customWidth="1"/>
    <col min="7" max="7" width="14.140625" bestFit="1" customWidth="1"/>
    <col min="9" max="9" width="57.140625" customWidth="1"/>
  </cols>
  <sheetData>
    <row r="1" spans="1:3" x14ac:dyDescent="0.2">
      <c r="A1" s="17" t="s">
        <v>422</v>
      </c>
      <c r="B1" s="17" t="s">
        <v>428</v>
      </c>
      <c r="C1" s="17" t="s">
        <v>429</v>
      </c>
    </row>
    <row r="2" spans="1:3" x14ac:dyDescent="0.2">
      <c r="A2" s="16" t="s">
        <v>426</v>
      </c>
      <c r="B2">
        <v>-10</v>
      </c>
      <c r="C2">
        <v>10</v>
      </c>
    </row>
    <row r="3" spans="1:3" x14ac:dyDescent="0.2">
      <c r="A3" s="19" t="s">
        <v>426</v>
      </c>
      <c r="B3" s="20">
        <v>3</v>
      </c>
      <c r="C3" s="21">
        <v>1</v>
      </c>
    </row>
    <row r="4" spans="1:3" x14ac:dyDescent="0.2">
      <c r="A4" t="s">
        <v>417</v>
      </c>
      <c r="B4">
        <v>2</v>
      </c>
      <c r="C4">
        <v>1</v>
      </c>
    </row>
    <row r="5" spans="1:3" x14ac:dyDescent="0.2">
      <c r="A5" s="18" t="s">
        <v>417</v>
      </c>
      <c r="B5" s="16">
        <v>4</v>
      </c>
      <c r="C5" s="16">
        <v>1</v>
      </c>
    </row>
    <row r="6" spans="1:3" x14ac:dyDescent="0.2">
      <c r="A6" s="18" t="s">
        <v>426</v>
      </c>
      <c r="B6">
        <v>5</v>
      </c>
      <c r="C6">
        <v>1</v>
      </c>
    </row>
    <row r="7" spans="1:3" x14ac:dyDescent="0.2">
      <c r="A7" s="18"/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3A49-FF2F-4E63-999B-E63F9FDF1ACD}">
  <dimension ref="A1:M4"/>
  <sheetViews>
    <sheetView workbookViewId="0">
      <selection activeCell="O19" sqref="O19"/>
    </sheetView>
  </sheetViews>
  <sheetFormatPr baseColWidth="10" defaultRowHeight="12.75" x14ac:dyDescent="0.2"/>
  <cols>
    <col min="1" max="1" width="16.28515625" bestFit="1" customWidth="1"/>
    <col min="2" max="13" width="7" bestFit="1" customWidth="1"/>
  </cols>
  <sheetData>
    <row r="1" spans="1:13" x14ac:dyDescent="0.2">
      <c r="A1" t="s">
        <v>422</v>
      </c>
      <c r="B1" t="s">
        <v>411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418</v>
      </c>
      <c r="I1" t="s">
        <v>419</v>
      </c>
      <c r="J1" t="s">
        <v>420</v>
      </c>
      <c r="K1" t="s">
        <v>421</v>
      </c>
      <c r="L1" t="s">
        <v>430</v>
      </c>
      <c r="M1" t="s">
        <v>431</v>
      </c>
    </row>
    <row r="2" spans="1:13" x14ac:dyDescent="0.2">
      <c r="A2" t="s">
        <v>527</v>
      </c>
      <c r="B2">
        <f t="shared" ref="B2:M2" si="0">SUM(_xlfn.ANCHORARRAY(B3))</f>
        <v>236250</v>
      </c>
      <c r="C2">
        <f t="shared" si="0"/>
        <v>247500</v>
      </c>
      <c r="D2">
        <f t="shared" si="0"/>
        <v>271875</v>
      </c>
      <c r="E2">
        <f t="shared" si="0"/>
        <v>278625</v>
      </c>
      <c r="F2">
        <f t="shared" si="0"/>
        <v>298500</v>
      </c>
      <c r="G2">
        <f t="shared" si="0"/>
        <v>263250</v>
      </c>
      <c r="H2">
        <f t="shared" si="0"/>
        <v>228000</v>
      </c>
      <c r="I2">
        <f t="shared" si="0"/>
        <v>192750</v>
      </c>
      <c r="J2">
        <f t="shared" si="0"/>
        <v>157500</v>
      </c>
      <c r="K2">
        <f t="shared" si="0"/>
        <v>122250</v>
      </c>
      <c r="L2">
        <f t="shared" si="0"/>
        <v>113250</v>
      </c>
      <c r="M2">
        <f t="shared" si="0"/>
        <v>104250</v>
      </c>
    </row>
    <row r="3" spans="1:13" x14ac:dyDescent="0.2">
      <c r="A3" t="str" cm="1">
        <f t="array" ref="A3:A4">Param_Machines!A2:INDEX(Param_Machines!A:A,COUNTA(Param_Machines!A:A))</f>
        <v>MX</v>
      </c>
      <c r="B3" cm="1">
        <f t="array" ref="B3:B4">_xlfn.MAP(_xlfn.ANCHORARRAY($A3),_xlfn.LAMBDA(_xlpm.t,SUMIF(Capacité_Période!$A:$A,_xlpm.t&amp;"*",Capacité_Période!B:B)))</f>
        <v>236250</v>
      </c>
      <c r="C3" cm="1">
        <f t="array" ref="C3:C4">_xlfn.MAP(_xlfn.ANCHORARRAY($A3),_xlfn.LAMBDA(_xlpm.t,SUMIF(Capacité_Période!$A:$A,_xlpm.t&amp;"*",Capacité_Période!C:C)))</f>
        <v>210000</v>
      </c>
      <c r="D3" cm="1">
        <f t="array" ref="D3:D4">_xlfn.MAP(_xlfn.ANCHORARRAY($A3),_xlfn.LAMBDA(_xlpm.t,SUMIF(Capacité_Période!$A:$A,_xlpm.t&amp;"*",Capacité_Période!D:D)))</f>
        <v>236250</v>
      </c>
      <c r="E3" cm="1">
        <f t="array" ref="E3:E4">_xlfn.MAP(_xlfn.ANCHORARRAY($A3),_xlfn.LAMBDA(_xlpm.t,SUMIF(Capacité_Période!$A:$A,_xlpm.t&amp;"*",Capacité_Période!E:E)))</f>
        <v>207375</v>
      </c>
      <c r="F3" cm="1">
        <f t="array" ref="F3:F4">_xlfn.MAP(_xlfn.ANCHORARRAY($A3),_xlfn.LAMBDA(_xlpm.t,SUMIF(Capacité_Période!$A:$A,_xlpm.t&amp;"*",Capacité_Période!F:F)))</f>
        <v>231000</v>
      </c>
      <c r="G3" cm="1">
        <f t="array" ref="G3:G4">_xlfn.MAP(_xlfn.ANCHORARRAY($A3),_xlfn.LAMBDA(_xlpm.t,SUMIF(Capacité_Période!$A:$A,_xlpm.t&amp;"*",Capacité_Période!G:G)))</f>
        <v>199500</v>
      </c>
      <c r="H3" cm="1">
        <f t="array" ref="H3:H4">_xlfn.MAP(_xlfn.ANCHORARRAY($A3),_xlfn.LAMBDA(_xlpm.t,SUMIF(Capacité_Période!$A:$A,_xlpm.t&amp;"*",Capacité_Période!H:H)))</f>
        <v>168000</v>
      </c>
      <c r="I3" cm="1">
        <f t="array" ref="I3:I4">_xlfn.MAP(_xlfn.ANCHORARRAY($A3),_xlfn.LAMBDA(_xlpm.t,SUMIF(Capacité_Période!$A:$A,_xlpm.t&amp;"*",Capacité_Période!I:I)))</f>
        <v>136500</v>
      </c>
      <c r="J3" cm="1">
        <f t="array" ref="J3:J4">_xlfn.MAP(_xlfn.ANCHORARRAY($A3),_xlfn.LAMBDA(_xlpm.t,SUMIF(Capacité_Période!$A:$A,_xlpm.t&amp;"*",Capacité_Période!J:J)))</f>
        <v>105000</v>
      </c>
      <c r="K3" cm="1">
        <f t="array" ref="K3:K4">_xlfn.MAP(_xlfn.ANCHORARRAY($A3),_xlfn.LAMBDA(_xlpm.t,SUMIF(Capacité_Période!$A:$A,_xlpm.t&amp;"*",Capacité_Période!K:K)))</f>
        <v>73500</v>
      </c>
      <c r="L3" cm="1">
        <f t="array" ref="L3:L4">_xlfn.MAP(_xlfn.ANCHORARRAY($A3),_xlfn.LAMBDA(_xlpm.t,SUMIF(Capacité_Période!$A:$A,_xlpm.t&amp;"*",Capacité_Période!L:L)))</f>
        <v>68250</v>
      </c>
      <c r="M3" cm="1">
        <f t="array" ref="M3:M4">_xlfn.MAP(_xlfn.ANCHORARRAY($A3),_xlfn.LAMBDA(_xlpm.t,SUMIF(Capacité_Période!$A:$A,_xlpm.t&amp;"*",Capacité_Période!M:M)))</f>
        <v>63000</v>
      </c>
    </row>
    <row r="4" spans="1:13" x14ac:dyDescent="0.2">
      <c r="A4" t="str">
        <v>MY</v>
      </c>
      <c r="B4">
        <v>0</v>
      </c>
      <c r="C4">
        <v>37500</v>
      </c>
      <c r="D4">
        <v>35625</v>
      </c>
      <c r="E4">
        <v>71250</v>
      </c>
      <c r="F4">
        <v>67500</v>
      </c>
      <c r="G4">
        <v>63750</v>
      </c>
      <c r="H4">
        <v>60000</v>
      </c>
      <c r="I4">
        <v>56250</v>
      </c>
      <c r="J4">
        <v>52500</v>
      </c>
      <c r="K4">
        <v>48750</v>
      </c>
      <c r="L4">
        <v>45000</v>
      </c>
      <c r="M4">
        <v>41250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outlinePr summaryBelow="0" summaryRight="0"/>
  </sheetPr>
  <dimension ref="A1:D5"/>
  <sheetViews>
    <sheetView workbookViewId="0">
      <selection activeCell="C4" sqref="C4"/>
    </sheetView>
  </sheetViews>
  <sheetFormatPr baseColWidth="10" defaultColWidth="12.5703125" defaultRowHeight="12.75" x14ac:dyDescent="0.2"/>
  <cols>
    <col min="1" max="1" width="7.5703125" customWidth="1"/>
    <col min="2" max="2" width="18.42578125" customWidth="1"/>
    <col min="3" max="3" width="20.140625" customWidth="1"/>
    <col min="4" max="4" width="19" customWidth="1"/>
    <col min="5" max="5" width="7" bestFit="1" customWidth="1"/>
  </cols>
  <sheetData>
    <row r="1" spans="1:4" x14ac:dyDescent="0.2">
      <c r="A1" s="7" t="s">
        <v>422</v>
      </c>
      <c r="B1" s="7" t="s">
        <v>423</v>
      </c>
      <c r="C1" s="7" t="s">
        <v>424</v>
      </c>
      <c r="D1" s="7" t="s">
        <v>425</v>
      </c>
    </row>
    <row r="2" spans="1:4" x14ac:dyDescent="0.2">
      <c r="A2" s="22" t="s">
        <v>426</v>
      </c>
      <c r="B2" s="22">
        <v>35000</v>
      </c>
      <c r="C2" s="22">
        <v>5</v>
      </c>
      <c r="D2" s="22">
        <v>150</v>
      </c>
    </row>
    <row r="3" spans="1:4" x14ac:dyDescent="0.2">
      <c r="A3" s="22" t="s">
        <v>417</v>
      </c>
      <c r="B3" s="22">
        <v>25000</v>
      </c>
      <c r="C3" s="22">
        <v>5</v>
      </c>
      <c r="D3" s="22">
        <v>150</v>
      </c>
    </row>
    <row r="4" spans="1:4" x14ac:dyDescent="0.2">
      <c r="A4" s="30"/>
      <c r="B4" s="30"/>
      <c r="C4" s="30"/>
      <c r="D4" s="30"/>
    </row>
    <row r="5" spans="1:4" x14ac:dyDescent="0.2">
      <c r="A5" s="30"/>
      <c r="B5" s="30"/>
      <c r="C5" s="30"/>
      <c r="D5" s="3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outlinePr summaryBelow="0" summaryRight="0"/>
  </sheetPr>
  <dimension ref="A1:C15"/>
  <sheetViews>
    <sheetView workbookViewId="0">
      <selection activeCell="A2" sqref="A2"/>
    </sheetView>
  </sheetViews>
  <sheetFormatPr baseColWidth="10" defaultColWidth="12.5703125" defaultRowHeight="12.75" x14ac:dyDescent="0.2"/>
  <cols>
    <col min="1" max="1" width="13.7109375" customWidth="1"/>
    <col min="2" max="2" width="7.5703125" customWidth="1"/>
    <col min="3" max="3" width="16.28515625" style="27" customWidth="1"/>
  </cols>
  <sheetData>
    <row r="1" spans="1:3" x14ac:dyDescent="0.2">
      <c r="A1" s="23" t="s">
        <v>427</v>
      </c>
      <c r="B1" s="23" t="s">
        <v>422</v>
      </c>
      <c r="C1" s="26" t="s">
        <v>428</v>
      </c>
    </row>
    <row r="2" spans="1:3" x14ac:dyDescent="0.2">
      <c r="A2" t="str" cm="1">
        <f t="array" ref="A2:C15">_xlfn.LET(_xlpm.data, _xlfn._xlws.FILTER(Ajouts!A2:C100, Ajouts!A2:A100&lt;&gt;""),_xlpm.sorted, _xlfn._xlws.SORT(_xlpm.data, 2, 1),_xlpm.types, INDEX(_xlpm.sorted,,1),_xlpm.per, INDEX(_xlpm.sorted,,2),_xlpm.qte, INDEX(_xlpm.sorted,,3),_xlpm.nRows, ROWS(_xlpm.sorted),_xlpm.decalages, _xlfn.MAP(_xlfn.SEQUENCE(_xlpm.nRows), _xlfn.LAMBDA(_xlpm.r,  IF(_xlpm.r=1, 0,    SUMPRODUCT(      (INDEX(_xlpm.types, _xlfn.SEQUENCE(_xlpm.r-1)) = INDEX(_xlpm.types, _xlpm.r)) *      INDEX(_xlpm.qte, _xlfn.SEQUENCE(_xlpm.r-1))    )  ))),_xlpm.total, SUM(_xlpm.qte),_xlpm.seq, _xlfn.SEQUENCE(_xlpm.total),_xlpm.cumul, _xlfn.SCAN(0, _xlpm.qte, _xlfn.LAMBDA(_xlpm.a,_xlpm.b, _xlpm.a+_xlpm.b)),_xlpm.bornes, _xlfn.VSTACK(0, _xlpm.cumul),_xlpm.idx, MATCH(_xlpm.seq-0.5, _xlpm.bornes, 1),_xlpm.theType, INDEX(_xlpm.types, _xlpm.idx),_xlpm.thePer, INDEX(_xlpm.per, _xlpm.idx),_xlpm.theDecal, INDEX(_xlpm.decalages, _xlpm.idx),_xlpm.localNum, _xlpm.seq - INDEX(_xlpm.bornes, _xlpm.idx),_xlpm.globalNum, _xlpm.localNum + _xlpm.theDecal,_xlpm.theID, _xlpm.theType &amp; "_" &amp; TEXT(_xlpm.globalNum, "00"),_xlfn.HSTACK(_xlpm.theID, _xlpm.theType, _xlpm.thePer))</f>
        <v>MX_01</v>
      </c>
      <c r="B2" t="str">
        <v>MX</v>
      </c>
      <c r="C2" s="27">
        <v>-10</v>
      </c>
    </row>
    <row r="3" spans="1:3" x14ac:dyDescent="0.2">
      <c r="A3" t="str">
        <v>MX_02</v>
      </c>
      <c r="B3" t="str">
        <v>MX</v>
      </c>
      <c r="C3" s="27">
        <v>-10</v>
      </c>
    </row>
    <row r="4" spans="1:3" x14ac:dyDescent="0.2">
      <c r="A4" t="str">
        <v>MX_03</v>
      </c>
      <c r="B4" t="str">
        <v>MX</v>
      </c>
      <c r="C4" s="27">
        <v>-10</v>
      </c>
    </row>
    <row r="5" spans="1:3" x14ac:dyDescent="0.2">
      <c r="A5" t="str">
        <v>MX_04</v>
      </c>
      <c r="B5" t="str">
        <v>MX</v>
      </c>
      <c r="C5" s="27">
        <v>-10</v>
      </c>
    </row>
    <row r="6" spans="1:3" x14ac:dyDescent="0.2">
      <c r="A6" t="str">
        <v>MX_05</v>
      </c>
      <c r="B6" t="str">
        <v>MX</v>
      </c>
      <c r="C6" s="27">
        <v>-10</v>
      </c>
    </row>
    <row r="7" spans="1:3" x14ac:dyDescent="0.2">
      <c r="A7" t="str">
        <v>MX_06</v>
      </c>
      <c r="B7" t="str">
        <v>MX</v>
      </c>
      <c r="C7" s="27">
        <v>-10</v>
      </c>
    </row>
    <row r="8" spans="1:3" x14ac:dyDescent="0.2">
      <c r="A8" t="str">
        <v>MX_07</v>
      </c>
      <c r="B8" t="str">
        <v>MX</v>
      </c>
      <c r="C8" s="27">
        <v>-10</v>
      </c>
    </row>
    <row r="9" spans="1:3" x14ac:dyDescent="0.2">
      <c r="A9" t="str">
        <v>MX_08</v>
      </c>
      <c r="B9" t="str">
        <v>MX</v>
      </c>
      <c r="C9" s="27">
        <v>-10</v>
      </c>
    </row>
    <row r="10" spans="1:3" x14ac:dyDescent="0.2">
      <c r="A10" t="str">
        <v>MX_09</v>
      </c>
      <c r="B10" t="str">
        <v>MX</v>
      </c>
      <c r="C10" s="27">
        <v>-10</v>
      </c>
    </row>
    <row r="11" spans="1:3" x14ac:dyDescent="0.2">
      <c r="A11" t="str">
        <v>MX_10</v>
      </c>
      <c r="B11" t="str">
        <v>MX</v>
      </c>
      <c r="C11" s="27">
        <v>-10</v>
      </c>
    </row>
    <row r="12" spans="1:3" x14ac:dyDescent="0.2">
      <c r="A12" t="str">
        <v>MY_01</v>
      </c>
      <c r="B12" t="str">
        <v>MY</v>
      </c>
      <c r="C12" s="27">
        <v>2</v>
      </c>
    </row>
    <row r="13" spans="1:3" x14ac:dyDescent="0.2">
      <c r="A13" t="str">
        <v>MX_11</v>
      </c>
      <c r="B13" t="str">
        <v>MX</v>
      </c>
      <c r="C13" s="27">
        <v>3</v>
      </c>
    </row>
    <row r="14" spans="1:3" x14ac:dyDescent="0.2">
      <c r="A14" t="str">
        <v>MY_02</v>
      </c>
      <c r="B14" t="str">
        <v>MY</v>
      </c>
      <c r="C14" s="27">
        <v>4</v>
      </c>
    </row>
    <row r="15" spans="1:3" x14ac:dyDescent="0.2">
      <c r="A15" t="str">
        <v>MX_12</v>
      </c>
      <c r="B15" t="str">
        <v>MX</v>
      </c>
      <c r="C15" s="27">
        <v>5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8">
    <outlinePr summaryBelow="0" summaryRight="0"/>
  </sheetPr>
  <dimension ref="A1:M15"/>
  <sheetViews>
    <sheetView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F2" sqref="F2"/>
    </sheetView>
  </sheetViews>
  <sheetFormatPr baseColWidth="10" defaultColWidth="12.5703125" defaultRowHeight="15.75" customHeight="1" x14ac:dyDescent="0.2"/>
  <cols>
    <col min="1" max="1" width="11.5703125" bestFit="1" customWidth="1"/>
    <col min="2" max="8" width="7.5703125" bestFit="1" customWidth="1"/>
    <col min="9" max="10" width="6.5703125" bestFit="1" customWidth="1"/>
    <col min="11" max="21" width="9.140625" bestFit="1" customWidth="1"/>
  </cols>
  <sheetData>
    <row r="1" spans="1:13" ht="12.75" x14ac:dyDescent="0.2">
      <c r="A1" s="24" t="s">
        <v>427</v>
      </c>
      <c r="B1" s="24" t="s">
        <v>411</v>
      </c>
      <c r="C1" s="24" t="s">
        <v>412</v>
      </c>
      <c r="D1" s="24" t="s">
        <v>413</v>
      </c>
      <c r="E1" s="24" t="s">
        <v>414</v>
      </c>
      <c r="F1" s="24" t="s">
        <v>415</v>
      </c>
      <c r="G1" s="24" t="s">
        <v>416</v>
      </c>
      <c r="H1" s="24" t="s">
        <v>418</v>
      </c>
      <c r="I1" s="24" t="s">
        <v>419</v>
      </c>
      <c r="J1" s="24" t="s">
        <v>420</v>
      </c>
      <c r="K1" s="24" t="s">
        <v>421</v>
      </c>
      <c r="L1" s="24" t="s">
        <v>430</v>
      </c>
      <c r="M1" s="24" t="s">
        <v>431</v>
      </c>
    </row>
    <row r="2" spans="1:13" ht="12.75" x14ac:dyDescent="0.2">
      <c r="A2" t="str" cm="1">
        <f t="array" ref="A2:A15">INDEX(_xlfn.ANCHORARRAY(Parc_Machines!A2),,1)</f>
        <v>MX_01</v>
      </c>
      <c r="B2" cm="1">
        <f t="array" ref="B2:B15">_xlfn.LET(
    _xlpm.types,Parc_Machines!$B$2:INDEX(Parc_Machines!$B:$B,COUNTA(Parc_Machines!$A:$A)),
    _xlpm.achats,Parc_Machines!$C$2:INDEX(Parc_Machines!$C:$C,COUNTA(Parc_Machines!$A:$A)),
    _xlpm.periode,VALUE(SUBSTITUTE(B$1,"P","")),
    _xlfn.MAP(_xlfn.SEQUENCE(ROWS(_xlpm.types)),_xlfn.LAMBDA(_xlpm.r,
        _xlfn.LET(
            _xlpm.type,INDEX(_xlpm.types,_xlpm.r),
            _xlpm.achat,INDEX(_xlpm.achats,_xlpm.r),
            _xlpm.cap0,_xlfn.XLOOKUP(_xlpm.type,Param_Machines!$A$2:$A$11,Param_Machines!$B$2:$B$11,0),
            _xlpm.usure,_xlfn.XLOOKUP(_xlpm.type,Param_Machines!$A$2:$A$11,Param_Machines!$C$2:$C$11,0)/100,
            _xlpm.surcapPct,_xlfn.XLOOKUP(_xlpm.type,Param_Machines!$A$2:$A$11,Param_Machines!$D$2:$D$11,100)/100,
            _xlpm.age,_xlpm.periode-_xlpm.achat,
            _xlpm.capRestante,_xlpm.cap0-_xlpm.cap0*_xlpm.usure*_xlpm.age,
            _xlpm.capMax,_xlpm.capRestante*_xlpm.surcapPct,
            IF(_xlpm.type="","",IF(_xlpm.age&lt;0,0,MIN(MAX(0,_xlpm.capMax))))
        )
    ))
)</f>
        <v>23625</v>
      </c>
      <c r="C2" cm="1">
        <f t="array" ref="C2:C15">_xlfn.LET(
    _xlpm.types,Parc_Machines!$B$2:INDEX(Parc_Machines!$B:$B,COUNTA(Parc_Machines!$A:$A)),
    _xlpm.achats,Parc_Machines!$C$2:INDEX(Parc_Machines!$C:$C,COUNTA(Parc_Machines!$A:$A)),
    _xlpm.periode,VALUE(SUBSTITUTE(C$1,"P","")),
    _xlfn.MAP(_xlfn.SEQUENCE(ROWS(_xlpm.types)),_xlfn.LAMBDA(_xlpm.r,
        _xlfn.LET(
            _xlpm.type,INDEX(_xlpm.types,_xlpm.r),
            _xlpm.achat,INDEX(_xlpm.achats,_xlpm.r),
            _xlpm.cap0,_xlfn.XLOOKUP(_xlpm.type,Param_Machines!$A$2:$A$11,Param_Machines!$B$2:$B$11,0),
            _xlpm.usure,_xlfn.XLOOKUP(_xlpm.type,Param_Machines!$A$2:$A$11,Param_Machines!$C$2:$C$11,0)/100,
            _xlpm.surcapPct,_xlfn.XLOOKUP(_xlpm.type,Param_Machines!$A$2:$A$11,Param_Machines!$D$2:$D$11,100)/100,
            _xlpm.age,_xlpm.periode-_xlpm.achat,
            _xlpm.capRestante,_xlpm.cap0-_xlpm.cap0*_xlpm.usure*_xlpm.age,
            _xlpm.capMax,_xlpm.capRestante*_xlpm.surcapPct,
            IF(_xlpm.type="","",IF(_xlpm.age&lt;0,0,MIN(MAX(0,_xlpm.capMax))))
        )
    ))
)</f>
        <v>21000</v>
      </c>
      <c r="D2" cm="1">
        <f t="array" ref="D2:D15">_xlfn.LET(
    _xlpm.types,Parc_Machines!$B$2:INDEX(Parc_Machines!$B:$B,COUNTA(Parc_Machines!$A:$A)),
    _xlpm.achats,Parc_Machines!$C$2:INDEX(Parc_Machines!$C:$C,COUNTA(Parc_Machines!$A:$A)),
    _xlpm.periode,VALUE(SUBSTITUTE(D$1,"P","")),
    _xlfn.MAP(_xlfn.SEQUENCE(ROWS(_xlpm.types)),_xlfn.LAMBDA(_xlpm.r,
        _xlfn.LET(
            _xlpm.type,INDEX(_xlpm.types,_xlpm.r),
            _xlpm.achat,INDEX(_xlpm.achats,_xlpm.r),
            _xlpm.cap0,_xlfn.XLOOKUP(_xlpm.type,Param_Machines!$A$2:$A$11,Param_Machines!$B$2:$B$11,0),
            _xlpm.usure,_xlfn.XLOOKUP(_xlpm.type,Param_Machines!$A$2:$A$11,Param_Machines!$C$2:$C$11,0)/100,
            _xlpm.surcapPct,_xlfn.XLOOKUP(_xlpm.type,Param_Machines!$A$2:$A$11,Param_Machines!$D$2:$D$11,100)/100,
            _xlpm.age,_xlpm.periode-_xlpm.achat,
            _xlpm.capRestante,_xlpm.cap0-_xlpm.cap0*_xlpm.usure*_xlpm.age,
            _xlpm.capMax,_xlpm.capRestante*_xlpm.surcapPct,
            IF(_xlpm.type="","",IF(_xlpm.age&lt;0,0,MIN(MAX(0,_xlpm.capMax))))
        )
    ))
)</f>
        <v>18375</v>
      </c>
      <c r="E2" cm="1">
        <f t="array" ref="E2:E15">_xlfn.LET(
    _xlpm.types,Parc_Machines!$B$2:INDEX(Parc_Machines!$B:$B,COUNTA(Parc_Machines!$A:$A)),
    _xlpm.achats,Parc_Machines!$C$2:INDEX(Parc_Machines!$C:$C,COUNTA(Parc_Machines!$A:$A)),
    _xlpm.periode,VALUE(SUBSTITUTE(E$1,"P","")),
    _xlfn.MAP(_xlfn.SEQUENCE(ROWS(_xlpm.types)),_xlfn.LAMBDA(_xlpm.r,
        _xlfn.LET(
            _xlpm.type,INDEX(_xlpm.types,_xlpm.r),
            _xlpm.achat,INDEX(_xlpm.achats,_xlpm.r),
            _xlpm.cap0,_xlfn.XLOOKUP(_xlpm.type,Param_Machines!$A$2:$A$11,Param_Machines!$B$2:$B$11,0),
            _xlpm.usure,_xlfn.XLOOKUP(_xlpm.type,Param_Machines!$A$2:$A$11,Param_Machines!$C$2:$C$11,0)/100,
            _xlpm.surcapPct,_xlfn.XLOOKUP(_xlpm.type,Param_Machines!$A$2:$A$11,Param_Machines!$D$2:$D$11,100)/100,
            _xlpm.age,_xlpm.periode-_xlpm.achat,
            _xlpm.capRestante,_xlpm.cap0-_xlpm.cap0*_xlpm.usure*_xlpm.age,
            _xlpm.capMax,_xlpm.capRestante*_xlpm.surcapPct,
            IF(_xlpm.type="","",IF(_xlpm.age&lt;0,0,MIN(MAX(0,_xlpm.capMax))))
        )
    ))
)</f>
        <v>15750</v>
      </c>
      <c r="F2" cm="1">
        <f t="array" ref="F2:F15">_xlfn.LET(
    _xlpm.types,Parc_Machines!$B$2:INDEX(Parc_Machines!$B:$B,COUNTA(Parc_Machines!$A:$A)),
    _xlpm.achats,Parc_Machines!$C$2:INDEX(Parc_Machines!$C:$C,COUNTA(Parc_Machines!$A:$A)),
    _xlpm.periode,VALUE(SUBSTITUTE(F$1,"P","")),
    _xlfn.MAP(_xlfn.SEQUENCE(ROWS(_xlpm.types)),_xlfn.LAMBDA(_xlpm.r,
        _xlfn.LET(
            _xlpm.type,INDEX(_xlpm.types,_xlpm.r),
            _xlpm.achat,INDEX(_xlpm.achats,_xlpm.r),
            _xlpm.cap0,_xlfn.XLOOKUP(_xlpm.type,Param_Machines!$A$2:$A$11,Param_Machines!$B$2:$B$11,0),
            _xlpm.usure,_xlfn.XLOOKUP(_xlpm.type,Param_Machines!$A$2:$A$11,Param_Machines!$C$2:$C$11,0)/100,
            _xlpm.surcapPct,_xlfn.XLOOKUP(_xlpm.type,Param_Machines!$A$2:$A$11,Param_Machines!$D$2:$D$11,100)/100,
            _xlpm.age,_xlpm.periode-_xlpm.achat,
            _xlpm.capRestante,_xlpm.cap0-_xlpm.cap0*_xlpm.usure*_xlpm.age,
            _xlpm.capMax,_xlpm.capRestante*_xlpm.surcapPct,
            IF(_xlpm.type="","",IF(_xlpm.age&lt;0,0,MIN(MAX(0,_xlpm.capMax))))
        )
    ))
)</f>
        <v>13125</v>
      </c>
      <c r="G2" cm="1">
        <f t="array" ref="G2:G15">_xlfn.LET(
    _xlpm.types,Parc_Machines!$B$2:INDEX(Parc_Machines!$B:$B,COUNTA(Parc_Machines!$A:$A)),
    _xlpm.achats,Parc_Machines!$C$2:INDEX(Parc_Machines!$C:$C,COUNTA(Parc_Machines!$A:$A)),
    _xlpm.periode,VALUE(SUBSTITUTE(G$1,"P","")),
    _xlfn.MAP(_xlfn.SEQUENCE(ROWS(_xlpm.types)),_xlfn.LAMBDA(_xlpm.r,
        _xlfn.LET(
            _xlpm.type,INDEX(_xlpm.types,_xlpm.r),
            _xlpm.achat,INDEX(_xlpm.achats,_xlpm.r),
            _xlpm.cap0,_xlfn.XLOOKUP(_xlpm.type,Param_Machines!$A$2:$A$11,Param_Machines!$B$2:$B$11,0),
            _xlpm.usure,_xlfn.XLOOKUP(_xlpm.type,Param_Machines!$A$2:$A$11,Param_Machines!$C$2:$C$11,0)/100,
            _xlpm.surcapPct,_xlfn.XLOOKUP(_xlpm.type,Param_Machines!$A$2:$A$11,Param_Machines!$D$2:$D$11,100)/100,
            _xlpm.age,_xlpm.periode-_xlpm.achat,
            _xlpm.capRestante,_xlpm.cap0-_xlpm.cap0*_xlpm.usure*_xlpm.age,
            _xlpm.capMax,_xlpm.capRestante*_xlpm.surcapPct,
            IF(_xlpm.type="","",IF(_xlpm.age&lt;0,0,MIN(MAX(0,_xlpm.capMax))))
        )
    ))
)</f>
        <v>10500</v>
      </c>
      <c r="H2" cm="1">
        <f t="array" ref="H2:H15">_xlfn.LET(
    _xlpm.types,Parc_Machines!$B$2:INDEX(Parc_Machines!$B:$B,COUNTA(Parc_Machines!$A:$A)),
    _xlpm.achats,Parc_Machines!$C$2:INDEX(Parc_Machines!$C:$C,COUNTA(Parc_Machines!$A:$A)),
    _xlpm.periode,VALUE(SUBSTITUTE(H$1,"P","")),
    _xlfn.MAP(_xlfn.SEQUENCE(ROWS(_xlpm.types)),_xlfn.LAMBDA(_xlpm.r,
        _xlfn.LET(
            _xlpm.type,INDEX(_xlpm.types,_xlpm.r),
            _xlpm.achat,INDEX(_xlpm.achats,_xlpm.r),
            _xlpm.cap0,_xlfn.XLOOKUP(_xlpm.type,Param_Machines!$A$2:$A$11,Param_Machines!$B$2:$B$11,0),
            _xlpm.usure,_xlfn.XLOOKUP(_xlpm.type,Param_Machines!$A$2:$A$11,Param_Machines!$C$2:$C$11,0)/100,
            _xlpm.surcapPct,_xlfn.XLOOKUP(_xlpm.type,Param_Machines!$A$2:$A$11,Param_Machines!$D$2:$D$11,100)/100,
            _xlpm.age,_xlpm.periode-_xlpm.achat,
            _xlpm.capRestante,_xlpm.cap0-_xlpm.cap0*_xlpm.usure*_xlpm.age,
            _xlpm.capMax,_xlpm.capRestante*_xlpm.surcapPct,
            IF(_xlpm.type="","",IF(_xlpm.age&lt;0,0,MIN(MAX(0,_xlpm.capMax))))
        )
    ))
)</f>
        <v>7875</v>
      </c>
      <c r="I2" cm="1">
        <f t="array" ref="I2:I15">_xlfn.LET(
    _xlpm.types,Parc_Machines!$B$2:INDEX(Parc_Machines!$B:$B,COUNTA(Parc_Machines!$A:$A)),
    _xlpm.achats,Parc_Machines!$C$2:INDEX(Parc_Machines!$C:$C,COUNTA(Parc_Machines!$A:$A)),
    _xlpm.periode,VALUE(SUBSTITUTE(I$1,"P","")),
    _xlfn.MAP(_xlfn.SEQUENCE(ROWS(_xlpm.types)),_xlfn.LAMBDA(_xlpm.r,
        _xlfn.LET(
            _xlpm.type,INDEX(_xlpm.types,_xlpm.r),
            _xlpm.achat,INDEX(_xlpm.achats,_xlpm.r),
            _xlpm.cap0,_xlfn.XLOOKUP(_xlpm.type,Param_Machines!$A$2:$A$11,Param_Machines!$B$2:$B$11,0),
            _xlpm.usure,_xlfn.XLOOKUP(_xlpm.type,Param_Machines!$A$2:$A$11,Param_Machines!$C$2:$C$11,0)/100,
            _xlpm.surcapPct,_xlfn.XLOOKUP(_xlpm.type,Param_Machines!$A$2:$A$11,Param_Machines!$D$2:$D$11,100)/100,
            _xlpm.age,_xlpm.periode-_xlpm.achat,
            _xlpm.capRestante,_xlpm.cap0-_xlpm.cap0*_xlpm.usure*_xlpm.age,
            _xlpm.capMax,_xlpm.capRestante*_xlpm.surcapPct,
            IF(_xlpm.type="","",IF(_xlpm.age&lt;0,0,MIN(MAX(0,_xlpm.capMax))))
        )
    ))
)</f>
        <v>5250</v>
      </c>
      <c r="J2" cm="1">
        <f t="array" ref="J2:J15">_xlfn.LET(
    _xlpm.types,Parc_Machines!$B$2:INDEX(Parc_Machines!$B:$B,COUNTA(Parc_Machines!$A:$A)),
    _xlpm.achats,Parc_Machines!$C$2:INDEX(Parc_Machines!$C:$C,COUNTA(Parc_Machines!$A:$A)),
    _xlpm.periode,VALUE(SUBSTITUTE(J$1,"P","")),
    _xlfn.MAP(_xlfn.SEQUENCE(ROWS(_xlpm.types)),_xlfn.LAMBDA(_xlpm.r,
        _xlfn.LET(
            _xlpm.type,INDEX(_xlpm.types,_xlpm.r),
            _xlpm.achat,INDEX(_xlpm.achats,_xlpm.r),
            _xlpm.cap0,_xlfn.XLOOKUP(_xlpm.type,Param_Machines!$A$2:$A$11,Param_Machines!$B$2:$B$11,0),
            _xlpm.usure,_xlfn.XLOOKUP(_xlpm.type,Param_Machines!$A$2:$A$11,Param_Machines!$C$2:$C$11,0)/100,
            _xlpm.surcapPct,_xlfn.XLOOKUP(_xlpm.type,Param_Machines!$A$2:$A$11,Param_Machines!$D$2:$D$11,100)/100,
            _xlpm.age,_xlpm.periode-_xlpm.achat,
            _xlpm.capRestante,_xlpm.cap0-_xlpm.cap0*_xlpm.usure*_xlpm.age,
            _xlpm.capMax,_xlpm.capRestante*_xlpm.surcapPct,
            IF(_xlpm.type="","",IF(_xlpm.age&lt;0,0,MIN(MAX(0,_xlpm.capMax))))
        )
    ))
)</f>
        <v>2625</v>
      </c>
      <c r="K2" cm="1">
        <f t="array" ref="K2:K15">_xlfn.LET(
    _xlpm.types,Parc_Machines!$B$2:INDEX(Parc_Machines!$B:$B,COUNTA(Parc_Machines!$A:$A)),
    _xlpm.achats,Parc_Machines!$C$2:INDEX(Parc_Machines!$C:$C,COUNTA(Parc_Machines!$A:$A)),
    _xlpm.periode,VALUE(SUBSTITUTE(K$1,"P","")),
    _xlfn.MAP(_xlfn.SEQUENCE(ROWS(_xlpm.types)),_xlfn.LAMBDA(_xlpm.r,
        _xlfn.LET(
            _xlpm.type,INDEX(_xlpm.types,_xlpm.r),
            _xlpm.achat,INDEX(_xlpm.achats,_xlpm.r),
            _xlpm.cap0,_xlfn.XLOOKUP(_xlpm.type,Param_Machines!$A$2:$A$11,Param_Machines!$B$2:$B$11,0),
            _xlpm.usure,_xlfn.XLOOKUP(_xlpm.type,Param_Machines!$A$2:$A$11,Param_Machines!$C$2:$C$11,0)/100,
            _xlpm.surcapPct,_xlfn.XLOOKUP(_xlpm.type,Param_Machines!$A$2:$A$11,Param_Machines!$D$2:$D$11,100)/100,
            _xlpm.age,_xlpm.periode-_xlpm.achat,
            _xlpm.capRestante,_xlpm.cap0-_xlpm.cap0*_xlpm.usure*_xlpm.age,
            _xlpm.capMax,_xlpm.capRestante*_xlpm.surcapPct,
            IF(_xlpm.type="","",IF(_xlpm.age&lt;0,0,MIN(MAX(0,_xlpm.capMax))))
        )
    ))
)</f>
        <v>0</v>
      </c>
      <c r="L2" cm="1">
        <f t="array" ref="L2:L15">_xlfn.LET(
    _xlpm.types,Parc_Machines!$B$2:INDEX(Parc_Machines!$B:$B,COUNTA(Parc_Machines!$A:$A)),
    _xlpm.achats,Parc_Machines!$C$2:INDEX(Parc_Machines!$C:$C,COUNTA(Parc_Machines!$A:$A)),
    _xlpm.periode,VALUE(SUBSTITUTE(L$1,"P","")),
    _xlfn.MAP(_xlfn.SEQUENCE(ROWS(_xlpm.types)),_xlfn.LAMBDA(_xlpm.r,
        _xlfn.LET(
            _xlpm.type,INDEX(_xlpm.types,_xlpm.r),
            _xlpm.achat,INDEX(_xlpm.achats,_xlpm.r),
            _xlpm.cap0,_xlfn.XLOOKUP(_xlpm.type,Param_Machines!$A$2:$A$11,Param_Machines!$B$2:$B$11,0),
            _xlpm.usure,_xlfn.XLOOKUP(_xlpm.type,Param_Machines!$A$2:$A$11,Param_Machines!$C$2:$C$11,0)/100,
            _xlpm.surcapPct,_xlfn.XLOOKUP(_xlpm.type,Param_Machines!$A$2:$A$11,Param_Machines!$D$2:$D$11,100)/100,
            _xlpm.age,_xlpm.periode-_xlpm.achat,
            _xlpm.capRestante,_xlpm.cap0-_xlpm.cap0*_xlpm.usure*_xlpm.age,
            _xlpm.capMax,_xlpm.capRestante*_xlpm.surcapPct,
            IF(_xlpm.type="","",IF(_xlpm.age&lt;0,0,MIN(MAX(0,_xlpm.capMax))))
        )
    ))
)</f>
        <v>0</v>
      </c>
      <c r="M2" cm="1">
        <f t="array" ref="M2:M15">_xlfn.LET(
    _xlpm.types,Parc_Machines!$B$2:INDEX(Parc_Machines!$B:$B,COUNTA(Parc_Machines!$A:$A)),
    _xlpm.achats,Parc_Machines!$C$2:INDEX(Parc_Machines!$C:$C,COUNTA(Parc_Machines!$A:$A)),
    _xlpm.periode,VALUE(SUBSTITUTE(M$1,"P","")),
    _xlfn.MAP(_xlfn.SEQUENCE(ROWS(_xlpm.types)),_xlfn.LAMBDA(_xlpm.r,
        _xlfn.LET(
            _xlpm.type,INDEX(_xlpm.types,_xlpm.r),
            _xlpm.achat,INDEX(_xlpm.achats,_xlpm.r),
            _xlpm.cap0,_xlfn.XLOOKUP(_xlpm.type,Param_Machines!$A$2:$A$11,Param_Machines!$B$2:$B$11,0),
            _xlpm.usure,_xlfn.XLOOKUP(_xlpm.type,Param_Machines!$A$2:$A$11,Param_Machines!$C$2:$C$11,0)/100,
            _xlpm.surcapPct,_xlfn.XLOOKUP(_xlpm.type,Param_Machines!$A$2:$A$11,Param_Machines!$D$2:$D$11,100)/100,
            _xlpm.age,_xlpm.periode-_xlpm.achat,
            _xlpm.capRestante,_xlpm.cap0-_xlpm.cap0*_xlpm.usure*_xlpm.age,
            _xlpm.capMax,_xlpm.capRestante*_xlpm.surcapPct,
            IF(_xlpm.type="","",IF(_xlpm.age&lt;0,0,MIN(MAX(0,_xlpm.capMax))))
        )
    ))
)</f>
        <v>0</v>
      </c>
    </row>
    <row r="3" spans="1:13" ht="15.75" customHeight="1" x14ac:dyDescent="0.2">
      <c r="A3" t="str">
        <v>MX_02</v>
      </c>
      <c r="B3">
        <v>23625</v>
      </c>
      <c r="C3">
        <v>21000</v>
      </c>
      <c r="D3">
        <v>18375</v>
      </c>
      <c r="E3">
        <v>15750</v>
      </c>
      <c r="F3">
        <v>13125</v>
      </c>
      <c r="G3">
        <v>10500</v>
      </c>
      <c r="H3">
        <v>7875</v>
      </c>
      <c r="I3">
        <v>5250</v>
      </c>
      <c r="J3">
        <v>2625</v>
      </c>
      <c r="K3">
        <v>0</v>
      </c>
      <c r="L3">
        <v>0</v>
      </c>
      <c r="M3">
        <v>0</v>
      </c>
    </row>
    <row r="4" spans="1:13" ht="15.75" customHeight="1" x14ac:dyDescent="0.2">
      <c r="A4" t="str">
        <v>MX_03</v>
      </c>
      <c r="B4">
        <v>23625</v>
      </c>
      <c r="C4">
        <v>21000</v>
      </c>
      <c r="D4">
        <v>18375</v>
      </c>
      <c r="E4">
        <v>15750</v>
      </c>
      <c r="F4">
        <v>13125</v>
      </c>
      <c r="G4">
        <v>10500</v>
      </c>
      <c r="H4">
        <v>7875</v>
      </c>
      <c r="I4">
        <v>5250</v>
      </c>
      <c r="J4">
        <v>2625</v>
      </c>
      <c r="K4">
        <v>0</v>
      </c>
      <c r="L4">
        <v>0</v>
      </c>
      <c r="M4">
        <v>0</v>
      </c>
    </row>
    <row r="5" spans="1:13" ht="15.75" customHeight="1" x14ac:dyDescent="0.2">
      <c r="A5" t="str">
        <v>MX_04</v>
      </c>
      <c r="B5">
        <v>23625</v>
      </c>
      <c r="C5">
        <v>21000</v>
      </c>
      <c r="D5">
        <v>18375</v>
      </c>
      <c r="E5">
        <v>15750</v>
      </c>
      <c r="F5">
        <v>13125</v>
      </c>
      <c r="G5">
        <v>10500</v>
      </c>
      <c r="H5">
        <v>7875</v>
      </c>
      <c r="I5">
        <v>5250</v>
      </c>
      <c r="J5">
        <v>2625</v>
      </c>
      <c r="K5">
        <v>0</v>
      </c>
      <c r="L5">
        <v>0</v>
      </c>
      <c r="M5">
        <v>0</v>
      </c>
    </row>
    <row r="6" spans="1:13" ht="15.75" customHeight="1" x14ac:dyDescent="0.2">
      <c r="A6" t="str">
        <v>MX_05</v>
      </c>
      <c r="B6">
        <v>23625</v>
      </c>
      <c r="C6">
        <v>21000</v>
      </c>
      <c r="D6">
        <v>18375</v>
      </c>
      <c r="E6">
        <v>15750</v>
      </c>
      <c r="F6">
        <v>13125</v>
      </c>
      <c r="G6">
        <v>10500</v>
      </c>
      <c r="H6">
        <v>7875</v>
      </c>
      <c r="I6">
        <v>5250</v>
      </c>
      <c r="J6">
        <v>2625</v>
      </c>
      <c r="K6">
        <v>0</v>
      </c>
      <c r="L6">
        <v>0</v>
      </c>
      <c r="M6">
        <v>0</v>
      </c>
    </row>
    <row r="7" spans="1:13" ht="15.75" customHeight="1" x14ac:dyDescent="0.2">
      <c r="A7" t="str">
        <v>MX_06</v>
      </c>
      <c r="B7">
        <v>23625</v>
      </c>
      <c r="C7">
        <v>21000</v>
      </c>
      <c r="D7">
        <v>18375</v>
      </c>
      <c r="E7">
        <v>15750</v>
      </c>
      <c r="F7">
        <v>13125</v>
      </c>
      <c r="G7">
        <v>10500</v>
      </c>
      <c r="H7">
        <v>7875</v>
      </c>
      <c r="I7">
        <v>5250</v>
      </c>
      <c r="J7">
        <v>2625</v>
      </c>
      <c r="K7">
        <v>0</v>
      </c>
      <c r="L7">
        <v>0</v>
      </c>
      <c r="M7">
        <v>0</v>
      </c>
    </row>
    <row r="8" spans="1:13" ht="15.75" customHeight="1" x14ac:dyDescent="0.2">
      <c r="A8" t="str">
        <v>MX_07</v>
      </c>
      <c r="B8">
        <v>23625</v>
      </c>
      <c r="C8">
        <v>21000</v>
      </c>
      <c r="D8">
        <v>18375</v>
      </c>
      <c r="E8">
        <v>15750</v>
      </c>
      <c r="F8">
        <v>13125</v>
      </c>
      <c r="G8">
        <v>10500</v>
      </c>
      <c r="H8">
        <v>7875</v>
      </c>
      <c r="I8">
        <v>5250</v>
      </c>
      <c r="J8">
        <v>2625</v>
      </c>
      <c r="K8">
        <v>0</v>
      </c>
      <c r="L8">
        <v>0</v>
      </c>
      <c r="M8">
        <v>0</v>
      </c>
    </row>
    <row r="9" spans="1:13" ht="15.75" customHeight="1" x14ac:dyDescent="0.2">
      <c r="A9" t="str">
        <v>MX_08</v>
      </c>
      <c r="B9">
        <v>23625</v>
      </c>
      <c r="C9">
        <v>21000</v>
      </c>
      <c r="D9">
        <v>18375</v>
      </c>
      <c r="E9">
        <v>15750</v>
      </c>
      <c r="F9">
        <v>13125</v>
      </c>
      <c r="G9">
        <v>10500</v>
      </c>
      <c r="H9">
        <v>7875</v>
      </c>
      <c r="I9">
        <v>5250</v>
      </c>
      <c r="J9">
        <v>2625</v>
      </c>
      <c r="K9">
        <v>0</v>
      </c>
      <c r="L9">
        <v>0</v>
      </c>
      <c r="M9">
        <v>0</v>
      </c>
    </row>
    <row r="10" spans="1:13" ht="15.75" customHeight="1" x14ac:dyDescent="0.2">
      <c r="A10" t="str">
        <v>MX_09</v>
      </c>
      <c r="B10">
        <v>23625</v>
      </c>
      <c r="C10">
        <v>21000</v>
      </c>
      <c r="D10">
        <v>18375</v>
      </c>
      <c r="E10">
        <v>15750</v>
      </c>
      <c r="F10">
        <v>13125</v>
      </c>
      <c r="G10">
        <v>10500</v>
      </c>
      <c r="H10">
        <v>7875</v>
      </c>
      <c r="I10">
        <v>5250</v>
      </c>
      <c r="J10">
        <v>2625</v>
      </c>
      <c r="K10">
        <v>0</v>
      </c>
      <c r="L10">
        <v>0</v>
      </c>
      <c r="M10">
        <v>0</v>
      </c>
    </row>
    <row r="11" spans="1:13" ht="12.75" x14ac:dyDescent="0.2">
      <c r="A11" t="str">
        <v>MX_10</v>
      </c>
      <c r="B11">
        <v>23625</v>
      </c>
      <c r="C11">
        <v>21000</v>
      </c>
      <c r="D11">
        <v>18375</v>
      </c>
      <c r="E11">
        <v>15750</v>
      </c>
      <c r="F11">
        <v>13125</v>
      </c>
      <c r="G11">
        <v>10500</v>
      </c>
      <c r="H11">
        <v>7875</v>
      </c>
      <c r="I11">
        <v>5250</v>
      </c>
      <c r="J11">
        <v>2625</v>
      </c>
      <c r="K11">
        <v>0</v>
      </c>
      <c r="L11">
        <v>0</v>
      </c>
      <c r="M11">
        <v>0</v>
      </c>
    </row>
    <row r="12" spans="1:13" ht="15.75" customHeight="1" x14ac:dyDescent="0.2">
      <c r="A12" t="str">
        <v>MY_01</v>
      </c>
      <c r="B12">
        <v>0</v>
      </c>
      <c r="C12">
        <v>37500</v>
      </c>
      <c r="D12">
        <v>35625</v>
      </c>
      <c r="E12">
        <v>33750</v>
      </c>
      <c r="F12">
        <v>31875</v>
      </c>
      <c r="G12">
        <v>30000</v>
      </c>
      <c r="H12">
        <v>28125</v>
      </c>
      <c r="I12">
        <v>26250</v>
      </c>
      <c r="J12">
        <v>24375</v>
      </c>
      <c r="K12">
        <v>22500</v>
      </c>
      <c r="L12">
        <v>20625</v>
      </c>
      <c r="M12">
        <v>18750</v>
      </c>
    </row>
    <row r="13" spans="1:13" ht="15.75" customHeight="1" x14ac:dyDescent="0.2">
      <c r="A13" t="str">
        <v>MX_11</v>
      </c>
      <c r="B13">
        <v>0</v>
      </c>
      <c r="C13">
        <v>0</v>
      </c>
      <c r="D13">
        <v>52500</v>
      </c>
      <c r="E13">
        <v>49875</v>
      </c>
      <c r="F13">
        <v>47250</v>
      </c>
      <c r="G13">
        <v>44625</v>
      </c>
      <c r="H13">
        <v>42000</v>
      </c>
      <c r="I13">
        <v>39375</v>
      </c>
      <c r="J13">
        <v>36750</v>
      </c>
      <c r="K13">
        <v>34125</v>
      </c>
      <c r="L13">
        <v>31500</v>
      </c>
      <c r="M13">
        <v>28875</v>
      </c>
    </row>
    <row r="14" spans="1:13" ht="15.75" customHeight="1" x14ac:dyDescent="0.2">
      <c r="A14" t="str">
        <v>MY_02</v>
      </c>
      <c r="B14">
        <v>0</v>
      </c>
      <c r="C14">
        <v>0</v>
      </c>
      <c r="D14">
        <v>0</v>
      </c>
      <c r="E14">
        <v>37500</v>
      </c>
      <c r="F14">
        <v>35625</v>
      </c>
      <c r="G14">
        <v>33750</v>
      </c>
      <c r="H14">
        <v>31875</v>
      </c>
      <c r="I14">
        <v>30000</v>
      </c>
      <c r="J14">
        <v>28125</v>
      </c>
      <c r="K14">
        <v>26250</v>
      </c>
      <c r="L14">
        <v>24375</v>
      </c>
      <c r="M14">
        <v>22500</v>
      </c>
    </row>
    <row r="15" spans="1:13" ht="15.75" customHeight="1" x14ac:dyDescent="0.2">
      <c r="A15" t="str">
        <v>MX_12</v>
      </c>
      <c r="B15">
        <v>0</v>
      </c>
      <c r="C15">
        <v>0</v>
      </c>
      <c r="D15">
        <v>0</v>
      </c>
      <c r="E15">
        <v>0</v>
      </c>
      <c r="F15">
        <v>52500</v>
      </c>
      <c r="G15">
        <v>49875</v>
      </c>
      <c r="H15">
        <v>47250</v>
      </c>
      <c r="I15">
        <v>44625</v>
      </c>
      <c r="J15">
        <v>42000</v>
      </c>
      <c r="K15">
        <v>39375</v>
      </c>
      <c r="L15">
        <v>36750</v>
      </c>
      <c r="M15">
        <v>34125</v>
      </c>
    </row>
  </sheetData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0">
    <outlinePr summaryBelow="0" summaryRight="0"/>
  </sheetPr>
  <dimension ref="A1:N31"/>
  <sheetViews>
    <sheetView workbookViewId="0">
      <selection activeCell="H11" sqref="H11"/>
    </sheetView>
  </sheetViews>
  <sheetFormatPr baseColWidth="10" defaultColWidth="12.5703125" defaultRowHeight="15.75" customHeight="1" x14ac:dyDescent="0.2"/>
  <cols>
    <col min="1" max="1" width="17.7109375" customWidth="1"/>
    <col min="4" max="4" width="20.5703125" customWidth="1"/>
  </cols>
  <sheetData>
    <row r="1" spans="1:5" x14ac:dyDescent="0.2">
      <c r="A1" s="22" t="s">
        <v>464</v>
      </c>
      <c r="D1" s="22" t="s">
        <v>465</v>
      </c>
    </row>
    <row r="2" spans="1:5" x14ac:dyDescent="0.2">
      <c r="A2" s="22" t="s">
        <v>142</v>
      </c>
      <c r="B2" s="22">
        <v>6527</v>
      </c>
      <c r="D2" s="22" t="s">
        <v>466</v>
      </c>
      <c r="E2" s="22">
        <v>10626</v>
      </c>
    </row>
    <row r="3" spans="1:5" x14ac:dyDescent="0.2">
      <c r="A3" s="22" t="s">
        <v>467</v>
      </c>
      <c r="B3" s="22">
        <v>37820</v>
      </c>
      <c r="D3" s="22" t="s">
        <v>468</v>
      </c>
      <c r="E3" s="22">
        <v>2000</v>
      </c>
    </row>
    <row r="4" spans="1:5" x14ac:dyDescent="0.2">
      <c r="A4" s="22" t="s">
        <v>469</v>
      </c>
      <c r="B4" s="22">
        <v>0</v>
      </c>
      <c r="D4" s="22" t="s">
        <v>470</v>
      </c>
      <c r="E4" s="22">
        <v>0</v>
      </c>
    </row>
    <row r="5" spans="1:5" x14ac:dyDescent="0.2">
      <c r="A5" s="22" t="s">
        <v>154</v>
      </c>
      <c r="B5" s="22">
        <v>0</v>
      </c>
      <c r="D5" s="22" t="s">
        <v>471</v>
      </c>
      <c r="E5" s="22">
        <v>12813</v>
      </c>
    </row>
    <row r="6" spans="1:5" x14ac:dyDescent="0.2">
      <c r="A6" s="22" t="s">
        <v>155</v>
      </c>
      <c r="B6" s="22">
        <v>0</v>
      </c>
      <c r="D6" s="22" t="s">
        <v>472</v>
      </c>
      <c r="E6" s="22">
        <v>5200</v>
      </c>
    </row>
    <row r="7" spans="1:5" x14ac:dyDescent="0.2">
      <c r="A7" s="22" t="s">
        <v>473</v>
      </c>
      <c r="B7" s="22">
        <v>0</v>
      </c>
      <c r="D7" s="22" t="s">
        <v>474</v>
      </c>
      <c r="E7" s="22">
        <v>1500</v>
      </c>
    </row>
    <row r="8" spans="1:5" x14ac:dyDescent="0.2">
      <c r="A8" s="22" t="s">
        <v>475</v>
      </c>
      <c r="B8" s="22">
        <v>0</v>
      </c>
      <c r="D8" s="22" t="s">
        <v>125</v>
      </c>
      <c r="E8" s="22">
        <v>2000</v>
      </c>
    </row>
    <row r="9" spans="1:5" x14ac:dyDescent="0.2">
      <c r="A9" s="22" t="s">
        <v>476</v>
      </c>
      <c r="B9" s="22">
        <v>0</v>
      </c>
      <c r="D9" s="22" t="s">
        <v>477</v>
      </c>
      <c r="E9" s="22">
        <v>0</v>
      </c>
    </row>
    <row r="10" spans="1:5" x14ac:dyDescent="0.2">
      <c r="A10" s="22" t="s">
        <v>478</v>
      </c>
      <c r="B10" s="22">
        <v>160</v>
      </c>
      <c r="D10" s="22" t="s">
        <v>479</v>
      </c>
      <c r="E10" s="22">
        <v>4000</v>
      </c>
    </row>
    <row r="11" spans="1:5" x14ac:dyDescent="0.2">
      <c r="A11" s="22" t="s">
        <v>480</v>
      </c>
      <c r="B11" s="22">
        <v>0</v>
      </c>
      <c r="D11" s="22" t="s">
        <v>131</v>
      </c>
      <c r="E11" s="22">
        <v>772</v>
      </c>
    </row>
    <row r="12" spans="1:5" x14ac:dyDescent="0.2">
      <c r="A12" s="22" t="s">
        <v>481</v>
      </c>
      <c r="B12" s="22">
        <f>SUM(B2:B11)</f>
        <v>44507</v>
      </c>
      <c r="D12" s="22" t="s">
        <v>482</v>
      </c>
      <c r="E12" s="22">
        <v>0</v>
      </c>
    </row>
    <row r="13" spans="1:5" x14ac:dyDescent="0.2">
      <c r="D13" s="22" t="s">
        <v>481</v>
      </c>
      <c r="E13" s="22">
        <f>SUM(E2:E12)</f>
        <v>38911</v>
      </c>
    </row>
    <row r="14" spans="1:5" x14ac:dyDescent="0.2">
      <c r="A14" s="22" t="s">
        <v>143</v>
      </c>
    </row>
    <row r="15" spans="1:5" x14ac:dyDescent="0.2">
      <c r="A15" s="22">
        <f>B12-E13</f>
        <v>5596</v>
      </c>
    </row>
    <row r="25" spans="1:14" x14ac:dyDescent="0.2">
      <c r="A25" s="22" t="s">
        <v>142</v>
      </c>
      <c r="B25" s="22" t="s">
        <v>483</v>
      </c>
      <c r="C25" s="22" t="s">
        <v>484</v>
      </c>
      <c r="D25" s="22" t="s">
        <v>485</v>
      </c>
    </row>
    <row r="26" spans="1:14" x14ac:dyDescent="0.2">
      <c r="A26" s="22">
        <v>15134</v>
      </c>
      <c r="B26" s="22">
        <v>27559</v>
      </c>
      <c r="C26" s="22">
        <f>A26+B26</f>
        <v>42693</v>
      </c>
      <c r="E26" s="22" t="s">
        <v>486</v>
      </c>
      <c r="F26" s="22" t="s">
        <v>164</v>
      </c>
      <c r="G26" s="22" t="s">
        <v>487</v>
      </c>
      <c r="H26" s="22" t="s">
        <v>113</v>
      </c>
      <c r="I26" s="22" t="s">
        <v>122</v>
      </c>
      <c r="J26" s="22" t="s">
        <v>488</v>
      </c>
      <c r="K26" s="22" t="s">
        <v>489</v>
      </c>
      <c r="L26" s="22" t="s">
        <v>490</v>
      </c>
      <c r="M26" s="22" t="s">
        <v>491</v>
      </c>
      <c r="N26" s="22" t="s">
        <v>481</v>
      </c>
    </row>
    <row r="27" spans="1:14" x14ac:dyDescent="0.2">
      <c r="E27" s="22">
        <v>10625</v>
      </c>
      <c r="F27" s="22">
        <v>11250</v>
      </c>
      <c r="G27" s="22">
        <v>2000</v>
      </c>
      <c r="H27" s="22">
        <v>3500</v>
      </c>
      <c r="I27" s="22">
        <v>800</v>
      </c>
      <c r="J27" s="22">
        <v>100</v>
      </c>
      <c r="K27" s="22">
        <v>2500</v>
      </c>
      <c r="L27" s="22">
        <v>10</v>
      </c>
      <c r="M27" s="22">
        <v>23</v>
      </c>
      <c r="N27" s="22">
        <f>SUM(E27:M27)</f>
        <v>30808</v>
      </c>
    </row>
    <row r="28" spans="1:14" x14ac:dyDescent="0.2">
      <c r="C28" s="22" t="s">
        <v>492</v>
      </c>
    </row>
    <row r="30" spans="1:14" x14ac:dyDescent="0.2">
      <c r="A30" s="22" t="s">
        <v>493</v>
      </c>
    </row>
    <row r="31" spans="1:14" x14ac:dyDescent="0.2">
      <c r="A31" s="22">
        <f>C26-N27</f>
        <v>11885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1">
    <outlinePr summaryBelow="0" summaryRight="0"/>
  </sheetPr>
  <dimension ref="A1:N7"/>
  <sheetViews>
    <sheetView tabSelected="1" workbookViewId="0"/>
  </sheetViews>
  <sheetFormatPr baseColWidth="10" defaultColWidth="12.5703125" defaultRowHeight="15.75" customHeight="1" x14ac:dyDescent="0.2"/>
  <cols>
    <col min="4" max="4" width="14.140625" customWidth="1"/>
    <col min="5" max="5" width="18.140625" customWidth="1"/>
    <col min="7" max="7" width="14.140625" customWidth="1"/>
  </cols>
  <sheetData>
    <row r="1" spans="1:14" x14ac:dyDescent="0.2">
      <c r="A1" s="22" t="s">
        <v>142</v>
      </c>
      <c r="B1" s="22" t="s">
        <v>483</v>
      </c>
      <c r="C1" s="22" t="s">
        <v>484</v>
      </c>
      <c r="D1" s="22" t="s">
        <v>485</v>
      </c>
    </row>
    <row r="2" spans="1:14" x14ac:dyDescent="0.2">
      <c r="A2" s="22">
        <v>15134</v>
      </c>
      <c r="B2" s="22">
        <v>27559</v>
      </c>
      <c r="C2" s="22">
        <f>A2+B2</f>
        <v>42693</v>
      </c>
      <c r="E2" s="22" t="s">
        <v>486</v>
      </c>
      <c r="F2" s="22" t="s">
        <v>164</v>
      </c>
      <c r="H2" s="22" t="s">
        <v>113</v>
      </c>
      <c r="I2" s="22" t="s">
        <v>122</v>
      </c>
      <c r="J2" s="22" t="s">
        <v>488</v>
      </c>
      <c r="K2" s="22" t="s">
        <v>489</v>
      </c>
      <c r="L2" s="22" t="s">
        <v>490</v>
      </c>
      <c r="M2" s="22" t="s">
        <v>491</v>
      </c>
      <c r="N2" s="22" t="s">
        <v>481</v>
      </c>
    </row>
    <row r="3" spans="1:14" x14ac:dyDescent="0.2">
      <c r="E3" s="22">
        <v>16125</v>
      </c>
      <c r="F3" s="22">
        <v>11250</v>
      </c>
      <c r="H3" s="22">
        <v>3500</v>
      </c>
      <c r="I3" s="22">
        <v>800</v>
      </c>
      <c r="J3" s="22">
        <v>100</v>
      </c>
      <c r="K3" s="22">
        <v>2500</v>
      </c>
      <c r="L3" s="22">
        <v>10</v>
      </c>
      <c r="M3" s="22">
        <v>23</v>
      </c>
      <c r="N3" s="22">
        <f>SUM(E3:M3)</f>
        <v>34308</v>
      </c>
    </row>
    <row r="4" spans="1:14" x14ac:dyDescent="0.2">
      <c r="C4" s="22" t="s">
        <v>492</v>
      </c>
    </row>
    <row r="6" spans="1:14" x14ac:dyDescent="0.2">
      <c r="A6" s="22" t="s">
        <v>493</v>
      </c>
    </row>
    <row r="7" spans="1:14" x14ac:dyDescent="0.2">
      <c r="A7" s="22">
        <f>C2-N3</f>
        <v>8385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outlinePr summaryBelow="0" summaryRight="0"/>
  </sheetPr>
  <dimension ref="A1:E13"/>
  <sheetViews>
    <sheetView workbookViewId="0"/>
  </sheetViews>
  <sheetFormatPr baseColWidth="10" defaultColWidth="12.5703125" defaultRowHeight="15.75" customHeight="1" x14ac:dyDescent="0.2"/>
  <cols>
    <col min="1" max="1" width="17.7109375" customWidth="1"/>
    <col min="4" max="4" width="20.5703125" customWidth="1"/>
  </cols>
  <sheetData>
    <row r="1" spans="1:5" x14ac:dyDescent="0.2">
      <c r="A1" s="22" t="s">
        <v>464</v>
      </c>
      <c r="D1" s="22" t="s">
        <v>465</v>
      </c>
    </row>
    <row r="2" spans="1:5" x14ac:dyDescent="0.2">
      <c r="A2" s="22" t="s">
        <v>467</v>
      </c>
      <c r="B2" s="22">
        <v>27559</v>
      </c>
      <c r="D2" s="22" t="s">
        <v>466</v>
      </c>
      <c r="E2" s="22">
        <v>16125</v>
      </c>
    </row>
    <row r="3" spans="1:5" x14ac:dyDescent="0.2">
      <c r="A3" s="22" t="s">
        <v>469</v>
      </c>
      <c r="B3" s="22">
        <v>0</v>
      </c>
      <c r="D3" s="22" t="s">
        <v>468</v>
      </c>
      <c r="E3" s="22">
        <v>0</v>
      </c>
    </row>
    <row r="4" spans="1:5" x14ac:dyDescent="0.2">
      <c r="A4" s="22" t="s">
        <v>154</v>
      </c>
      <c r="B4" s="22">
        <v>0</v>
      </c>
      <c r="D4" s="22" t="s">
        <v>470</v>
      </c>
      <c r="E4" s="22">
        <v>0</v>
      </c>
    </row>
    <row r="5" spans="1:5" x14ac:dyDescent="0.2">
      <c r="A5" s="22" t="s">
        <v>155</v>
      </c>
      <c r="B5" s="22">
        <v>0</v>
      </c>
      <c r="D5" s="22" t="s">
        <v>471</v>
      </c>
      <c r="E5" s="22">
        <v>11250</v>
      </c>
    </row>
    <row r="6" spans="1:5" x14ac:dyDescent="0.2">
      <c r="A6" s="22" t="s">
        <v>473</v>
      </c>
      <c r="B6" s="22">
        <v>0</v>
      </c>
      <c r="D6" s="22" t="s">
        <v>472</v>
      </c>
      <c r="E6" s="22">
        <v>5100</v>
      </c>
    </row>
    <row r="7" spans="1:5" x14ac:dyDescent="0.2">
      <c r="A7" s="22" t="s">
        <v>475</v>
      </c>
      <c r="B7" s="22">
        <v>0</v>
      </c>
      <c r="D7" s="22" t="s">
        <v>474</v>
      </c>
      <c r="E7" s="22">
        <v>1200</v>
      </c>
    </row>
    <row r="8" spans="1:5" x14ac:dyDescent="0.2">
      <c r="A8" s="22" t="s">
        <v>476</v>
      </c>
      <c r="B8" s="22">
        <v>0</v>
      </c>
      <c r="D8" s="22" t="s">
        <v>125</v>
      </c>
      <c r="E8" s="22">
        <v>2000</v>
      </c>
    </row>
    <row r="9" spans="1:5" x14ac:dyDescent="0.2">
      <c r="A9" s="22" t="s">
        <v>478</v>
      </c>
      <c r="B9" s="22">
        <v>0</v>
      </c>
      <c r="D9" s="22" t="s">
        <v>477</v>
      </c>
      <c r="E9" s="22">
        <v>0</v>
      </c>
    </row>
    <row r="10" spans="1:5" x14ac:dyDescent="0.2">
      <c r="A10" s="22" t="s">
        <v>480</v>
      </c>
      <c r="B10" s="22">
        <v>0</v>
      </c>
      <c r="D10" s="22" t="s">
        <v>479</v>
      </c>
      <c r="E10" s="22">
        <v>0</v>
      </c>
    </row>
    <row r="11" spans="1:5" x14ac:dyDescent="0.2">
      <c r="A11" s="22" t="s">
        <v>481</v>
      </c>
      <c r="B11" s="22">
        <f>SUM(B2:B10)</f>
        <v>27559</v>
      </c>
      <c r="D11" s="22" t="s">
        <v>131</v>
      </c>
      <c r="E11" s="22">
        <v>772</v>
      </c>
    </row>
    <row r="12" spans="1:5" x14ac:dyDescent="0.2">
      <c r="D12" s="22" t="s">
        <v>482</v>
      </c>
      <c r="E12" s="22">
        <v>6400</v>
      </c>
    </row>
    <row r="13" spans="1:5" x14ac:dyDescent="0.2">
      <c r="D13" s="22" t="s">
        <v>481</v>
      </c>
      <c r="E13" s="22">
        <f>SUM(E2:E12)</f>
        <v>42847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3">
    <outlinePr summaryBelow="0" summaryRight="0"/>
  </sheetPr>
  <dimension ref="A1:AX14"/>
  <sheetViews>
    <sheetView workbookViewId="0"/>
  </sheetViews>
  <sheetFormatPr baseColWidth="10" defaultColWidth="12.5703125" defaultRowHeight="15.75" customHeight="1" x14ac:dyDescent="0.2"/>
  <cols>
    <col min="1" max="1" width="17.7109375" customWidth="1"/>
    <col min="4" max="4" width="20.5703125" customWidth="1"/>
  </cols>
  <sheetData>
    <row r="1" spans="1:50" x14ac:dyDescent="0.2">
      <c r="A1" s="22" t="s">
        <v>464</v>
      </c>
      <c r="D1" s="22" t="s">
        <v>465</v>
      </c>
    </row>
    <row r="2" spans="1:50" x14ac:dyDescent="0.2">
      <c r="A2" s="22" t="s">
        <v>467</v>
      </c>
      <c r="B2" s="15">
        <v>57189</v>
      </c>
      <c r="D2" s="22" t="s">
        <v>466</v>
      </c>
      <c r="E2" s="15">
        <v>17625</v>
      </c>
    </row>
    <row r="3" spans="1:50" x14ac:dyDescent="0.2">
      <c r="A3" s="22" t="s">
        <v>469</v>
      </c>
      <c r="B3" s="22">
        <v>0</v>
      </c>
      <c r="D3" s="22" t="s">
        <v>468</v>
      </c>
      <c r="E3" s="22">
        <v>2500</v>
      </c>
    </row>
    <row r="4" spans="1:50" x14ac:dyDescent="0.2">
      <c r="A4" s="22" t="s">
        <v>154</v>
      </c>
      <c r="B4" s="22">
        <v>0</v>
      </c>
      <c r="D4" s="22" t="s">
        <v>470</v>
      </c>
      <c r="E4" s="22">
        <v>0</v>
      </c>
    </row>
    <row r="5" spans="1:50" x14ac:dyDescent="0.2">
      <c r="A5" s="22" t="s">
        <v>155</v>
      </c>
      <c r="B5" s="22">
        <v>0</v>
      </c>
      <c r="D5" s="22" t="s">
        <v>471</v>
      </c>
      <c r="E5" s="15">
        <v>13894</v>
      </c>
      <c r="F5" s="22" t="s">
        <v>494</v>
      </c>
      <c r="G5" s="22" t="s">
        <v>495</v>
      </c>
      <c r="I5" s="22" t="s">
        <v>496</v>
      </c>
      <c r="K5" s="42" t="s">
        <v>497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</row>
    <row r="6" spans="1:50" x14ac:dyDescent="0.2">
      <c r="A6" s="22" t="s">
        <v>473</v>
      </c>
      <c r="B6" s="22">
        <v>0</v>
      </c>
      <c r="D6" s="22" t="s">
        <v>472</v>
      </c>
      <c r="E6" s="22">
        <v>7653</v>
      </c>
      <c r="F6" s="22" t="s">
        <v>498</v>
      </c>
      <c r="K6" s="42" t="s">
        <v>499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</row>
    <row r="7" spans="1:50" x14ac:dyDescent="0.2">
      <c r="A7" s="22" t="s">
        <v>475</v>
      </c>
      <c r="B7" s="22">
        <v>0</v>
      </c>
      <c r="D7" s="22" t="s">
        <v>474</v>
      </c>
      <c r="E7" s="22">
        <v>1500</v>
      </c>
      <c r="K7" s="42" t="s">
        <v>500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</row>
    <row r="8" spans="1:50" x14ac:dyDescent="0.2">
      <c r="A8" s="22" t="s">
        <v>476</v>
      </c>
      <c r="B8" s="22">
        <v>6400</v>
      </c>
      <c r="D8" s="22" t="s">
        <v>125</v>
      </c>
      <c r="E8" s="22">
        <v>2000</v>
      </c>
      <c r="K8" s="42" t="s">
        <v>501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</row>
    <row r="9" spans="1:50" x14ac:dyDescent="0.2">
      <c r="A9" s="22" t="s">
        <v>478</v>
      </c>
      <c r="B9" s="22">
        <v>128</v>
      </c>
      <c r="D9" s="22" t="s">
        <v>477</v>
      </c>
      <c r="E9" s="22">
        <v>0</v>
      </c>
    </row>
    <row r="10" spans="1:50" x14ac:dyDescent="0.2">
      <c r="A10" s="22" t="s">
        <v>480</v>
      </c>
      <c r="B10" s="22">
        <v>0</v>
      </c>
      <c r="D10" s="22" t="s">
        <v>479</v>
      </c>
      <c r="E10" s="22">
        <v>4020</v>
      </c>
      <c r="F10" s="15" t="s">
        <v>502</v>
      </c>
    </row>
    <row r="11" spans="1:50" x14ac:dyDescent="0.2">
      <c r="A11" s="22" t="s">
        <v>481</v>
      </c>
      <c r="B11" s="22">
        <f>SUM(B2:B10)</f>
        <v>63717</v>
      </c>
      <c r="D11" s="22" t="s">
        <v>131</v>
      </c>
      <c r="E11" s="22">
        <v>364</v>
      </c>
      <c r="F11" s="22" t="s">
        <v>503</v>
      </c>
    </row>
    <row r="12" spans="1:50" x14ac:dyDescent="0.2">
      <c r="D12" s="22" t="s">
        <v>482</v>
      </c>
      <c r="E12" s="22">
        <v>4400</v>
      </c>
      <c r="F12" s="22" t="s">
        <v>504</v>
      </c>
    </row>
    <row r="13" spans="1:50" x14ac:dyDescent="0.2">
      <c r="A13" s="22" t="s">
        <v>505</v>
      </c>
      <c r="D13" s="22" t="s">
        <v>481</v>
      </c>
      <c r="E13" s="22">
        <f>SUM(E2:E12)</f>
        <v>53956</v>
      </c>
    </row>
    <row r="14" spans="1:50" x14ac:dyDescent="0.2">
      <c r="A14" s="22">
        <f>B11-E13+127</f>
        <v>9888</v>
      </c>
    </row>
  </sheetData>
  <mergeCells count="4">
    <mergeCell ref="K5:AX5"/>
    <mergeCell ref="K6:AX6"/>
    <mergeCell ref="K7:AX7"/>
    <mergeCell ref="K8:AX8"/>
  </mergeCells>
  <hyperlinks>
    <hyperlink ref="B2" r:id="rId1" display="https://www.besoft.fr/ngen/results.php?p=0" xr:uid="{00000000-0004-0000-0B00-000000000000}"/>
    <hyperlink ref="E2" r:id="rId2" display="https://www.besoft.fr/ngen/results.php?p=3" xr:uid="{00000000-0004-0000-0B00-000001000000}"/>
    <hyperlink ref="E5" r:id="rId3" display="https://www.besoft.fr/ngen/results.php?p=3" xr:uid="{00000000-0004-0000-0B00-000002000000}"/>
    <hyperlink ref="F10" r:id="rId4" xr:uid="{00000000-0004-0000-0B00-000003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4">
    <outlinePr summaryBelow="0" summaryRight="0"/>
  </sheetPr>
  <dimension ref="A1:K18"/>
  <sheetViews>
    <sheetView workbookViewId="0"/>
  </sheetViews>
  <sheetFormatPr baseColWidth="10" defaultColWidth="12.5703125" defaultRowHeight="15.75" customHeight="1" x14ac:dyDescent="0.2"/>
  <cols>
    <col min="1" max="1" width="17.7109375" customWidth="1"/>
    <col min="4" max="4" width="31.7109375" customWidth="1"/>
    <col min="6" max="6" width="19.85546875" customWidth="1"/>
  </cols>
  <sheetData>
    <row r="1" spans="1:10" x14ac:dyDescent="0.2">
      <c r="A1" s="22" t="s">
        <v>464</v>
      </c>
      <c r="B1" s="22" t="s">
        <v>141</v>
      </c>
      <c r="D1" s="22" t="s">
        <v>465</v>
      </c>
    </row>
    <row r="2" spans="1:10" x14ac:dyDescent="0.2">
      <c r="A2" s="22" t="s">
        <v>467</v>
      </c>
      <c r="B2" s="22">
        <v>43450</v>
      </c>
      <c r="D2" s="22" t="s">
        <v>466</v>
      </c>
      <c r="E2" s="22">
        <v>22238</v>
      </c>
      <c r="F2" s="22" t="s">
        <v>506</v>
      </c>
    </row>
    <row r="3" spans="1:10" x14ac:dyDescent="0.2">
      <c r="A3" s="22" t="s">
        <v>469</v>
      </c>
      <c r="B3" s="22">
        <v>0</v>
      </c>
      <c r="D3" s="22" t="s">
        <v>468</v>
      </c>
      <c r="E3" s="22">
        <v>2000</v>
      </c>
      <c r="F3" s="22" t="s">
        <v>507</v>
      </c>
    </row>
    <row r="4" spans="1:10" x14ac:dyDescent="0.2">
      <c r="A4" s="22" t="s">
        <v>154</v>
      </c>
      <c r="B4" s="22">
        <v>0</v>
      </c>
      <c r="D4" s="22" t="s">
        <v>470</v>
      </c>
      <c r="E4" s="22">
        <v>0</v>
      </c>
      <c r="F4" s="22" t="s">
        <v>508</v>
      </c>
      <c r="G4" s="22" t="s">
        <v>509</v>
      </c>
      <c r="H4" s="22" t="s">
        <v>120</v>
      </c>
      <c r="I4" s="22" t="s">
        <v>124</v>
      </c>
      <c r="J4" s="22" t="s">
        <v>510</v>
      </c>
    </row>
    <row r="5" spans="1:10" x14ac:dyDescent="0.2">
      <c r="A5" s="22" t="s">
        <v>155</v>
      </c>
      <c r="B5" s="22">
        <v>0</v>
      </c>
      <c r="D5" s="22" t="s">
        <v>471</v>
      </c>
      <c r="E5" s="22">
        <f>SUM(F5:J5)</f>
        <v>13770</v>
      </c>
      <c r="F5" s="22">
        <v>11275</v>
      </c>
      <c r="G5" s="22">
        <v>625</v>
      </c>
      <c r="H5" s="22">
        <v>375</v>
      </c>
      <c r="I5" s="22">
        <v>1000</v>
      </c>
      <c r="J5" s="22">
        <f>(K18*750+K18*7500)/1000</f>
        <v>495</v>
      </c>
    </row>
    <row r="6" spans="1:10" x14ac:dyDescent="0.2">
      <c r="A6" s="22" t="s">
        <v>473</v>
      </c>
      <c r="B6" s="22">
        <v>0</v>
      </c>
      <c r="D6" s="22" t="s">
        <v>511</v>
      </c>
      <c r="E6" s="22">
        <f>SUM(F6:H6)</f>
        <v>6920</v>
      </c>
      <c r="F6" s="22">
        <f>I18*J18</f>
        <v>4720</v>
      </c>
      <c r="G6" s="22">
        <v>200</v>
      </c>
      <c r="H6" s="22">
        <v>2000</v>
      </c>
    </row>
    <row r="7" spans="1:10" x14ac:dyDescent="0.2">
      <c r="A7" s="22" t="s">
        <v>475</v>
      </c>
      <c r="B7" s="22">
        <v>0</v>
      </c>
      <c r="D7" s="22" t="s">
        <v>474</v>
      </c>
      <c r="E7" s="22">
        <f>SUM(F7:G7)</f>
        <v>1500</v>
      </c>
      <c r="F7" s="22">
        <v>500</v>
      </c>
      <c r="G7" s="22">
        <v>1000</v>
      </c>
      <c r="H7" s="22" t="s">
        <v>507</v>
      </c>
    </row>
    <row r="8" spans="1:10" x14ac:dyDescent="0.2">
      <c r="A8" s="22" t="s">
        <v>476</v>
      </c>
      <c r="B8" s="22">
        <v>13200</v>
      </c>
      <c r="D8" s="22" t="s">
        <v>125</v>
      </c>
      <c r="E8" s="22">
        <v>2000</v>
      </c>
      <c r="F8" s="22" t="s">
        <v>512</v>
      </c>
    </row>
    <row r="9" spans="1:10" x14ac:dyDescent="0.2">
      <c r="A9" s="22" t="s">
        <v>478</v>
      </c>
      <c r="B9" s="22">
        <f>0.8*0.025*B8</f>
        <v>264.00000000000006</v>
      </c>
      <c r="D9" s="22" t="s">
        <v>477</v>
      </c>
      <c r="E9" s="22">
        <v>0</v>
      </c>
      <c r="F9" s="22" t="s">
        <v>513</v>
      </c>
      <c r="G9" s="22" t="s">
        <v>514</v>
      </c>
      <c r="H9" s="22" t="s">
        <v>515</v>
      </c>
      <c r="I9" s="22" t="s">
        <v>37</v>
      </c>
    </row>
    <row r="10" spans="1:10" x14ac:dyDescent="0.2">
      <c r="A10" s="22" t="s">
        <v>480</v>
      </c>
      <c r="B10" s="22">
        <v>0</v>
      </c>
      <c r="D10" s="22" t="s">
        <v>479</v>
      </c>
      <c r="E10" s="22">
        <f>SUM(F10:I10)</f>
        <v>3530</v>
      </c>
      <c r="F10" s="22">
        <v>2000</v>
      </c>
      <c r="G10" s="22">
        <v>20</v>
      </c>
      <c r="H10" s="22">
        <v>1500</v>
      </c>
      <c r="I10" s="22">
        <v>10</v>
      </c>
    </row>
    <row r="11" spans="1:10" x14ac:dyDescent="0.2">
      <c r="A11" s="22" t="s">
        <v>481</v>
      </c>
      <c r="B11" s="22">
        <f>SUM(B2:B10)</f>
        <v>56914</v>
      </c>
      <c r="D11" s="22" t="s">
        <v>131</v>
      </c>
      <c r="E11" s="22">
        <f>F11*0.33</f>
        <v>2012.01</v>
      </c>
      <c r="F11" s="22">
        <v>6097</v>
      </c>
      <c r="G11" s="22" t="s">
        <v>516</v>
      </c>
    </row>
    <row r="12" spans="1:10" x14ac:dyDescent="0.2">
      <c r="D12" s="22" t="s">
        <v>482</v>
      </c>
      <c r="E12" s="22">
        <v>2800</v>
      </c>
      <c r="F12" s="22">
        <v>13355</v>
      </c>
      <c r="G12" s="22">
        <f>ROUNDDOWN(F12,-2)</f>
        <v>13300</v>
      </c>
    </row>
    <row r="13" spans="1:10" x14ac:dyDescent="0.2">
      <c r="A13" s="22" t="s">
        <v>517</v>
      </c>
      <c r="D13" s="22" t="s">
        <v>481</v>
      </c>
      <c r="E13" s="22">
        <f>SUM(E2:E12)</f>
        <v>56770.01</v>
      </c>
      <c r="F13" s="22" t="s">
        <v>518</v>
      </c>
    </row>
    <row r="14" spans="1:10" x14ac:dyDescent="0.2">
      <c r="A14" s="22">
        <f>B11-E13</f>
        <v>143.98999999999796</v>
      </c>
    </row>
    <row r="17" spans="6:11" x14ac:dyDescent="0.2">
      <c r="F17" s="22" t="s">
        <v>115</v>
      </c>
      <c r="I17" s="22" t="s">
        <v>519</v>
      </c>
      <c r="J17" s="22" t="s">
        <v>520</v>
      </c>
      <c r="K17" s="22" t="s">
        <v>406</v>
      </c>
    </row>
    <row r="18" spans="6:11" x14ac:dyDescent="0.2">
      <c r="F18" s="22" t="s">
        <v>521</v>
      </c>
      <c r="I18" s="22">
        <v>236</v>
      </c>
      <c r="J18" s="22">
        <v>20</v>
      </c>
      <c r="K18" s="22">
        <v>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5">
    <outlinePr summaryBelow="0" summaryRight="0"/>
  </sheetPr>
  <dimension ref="A1:J18"/>
  <sheetViews>
    <sheetView workbookViewId="0"/>
  </sheetViews>
  <sheetFormatPr baseColWidth="10" defaultColWidth="12.5703125" defaultRowHeight="15.75" customHeight="1" x14ac:dyDescent="0.2"/>
  <cols>
    <col min="1" max="1" width="17.7109375" customWidth="1"/>
    <col min="4" max="4" width="24.42578125" customWidth="1"/>
  </cols>
  <sheetData>
    <row r="1" spans="1:10" x14ac:dyDescent="0.2">
      <c r="A1" s="22" t="s">
        <v>464</v>
      </c>
      <c r="B1" s="22" t="s">
        <v>141</v>
      </c>
      <c r="D1" s="22" t="s">
        <v>465</v>
      </c>
    </row>
    <row r="2" spans="1:10" x14ac:dyDescent="0.2">
      <c r="A2" s="22" t="s">
        <v>467</v>
      </c>
      <c r="B2" s="22">
        <v>37198</v>
      </c>
      <c r="D2" s="22" t="s">
        <v>466</v>
      </c>
      <c r="E2" s="22">
        <v>7451</v>
      </c>
      <c r="F2" s="22" t="s">
        <v>506</v>
      </c>
    </row>
    <row r="3" spans="1:10" x14ac:dyDescent="0.2">
      <c r="A3" s="22" t="s">
        <v>469</v>
      </c>
      <c r="B3" s="22">
        <v>800</v>
      </c>
      <c r="D3" s="22" t="s">
        <v>468</v>
      </c>
      <c r="E3" s="22">
        <v>2500</v>
      </c>
      <c r="F3" s="22" t="s">
        <v>507</v>
      </c>
    </row>
    <row r="4" spans="1:10" x14ac:dyDescent="0.2">
      <c r="A4" s="22" t="s">
        <v>154</v>
      </c>
      <c r="B4" s="22">
        <v>0</v>
      </c>
      <c r="D4" s="22" t="s">
        <v>470</v>
      </c>
      <c r="E4" s="22">
        <v>0</v>
      </c>
      <c r="F4" s="22" t="s">
        <v>508</v>
      </c>
      <c r="G4" s="22" t="s">
        <v>509</v>
      </c>
      <c r="H4" s="22" t="s">
        <v>120</v>
      </c>
      <c r="I4" s="22" t="s">
        <v>124</v>
      </c>
    </row>
    <row r="5" spans="1:10" x14ac:dyDescent="0.2">
      <c r="A5" s="22" t="s">
        <v>155</v>
      </c>
      <c r="B5" s="22">
        <v>0</v>
      </c>
      <c r="D5" s="22" t="s">
        <v>471</v>
      </c>
      <c r="E5" s="22">
        <f>SUM(F5:J5)</f>
        <v>14726</v>
      </c>
      <c r="F5" s="22">
        <v>12726</v>
      </c>
      <c r="G5" s="22">
        <v>625</v>
      </c>
      <c r="H5" s="22">
        <v>375</v>
      </c>
      <c r="I5" s="22">
        <v>1000</v>
      </c>
      <c r="J5" s="22" t="s">
        <v>522</v>
      </c>
    </row>
    <row r="6" spans="1:10" x14ac:dyDescent="0.2">
      <c r="A6" s="22" t="s">
        <v>473</v>
      </c>
      <c r="B6" s="22">
        <v>0</v>
      </c>
      <c r="D6" s="22" t="s">
        <v>511</v>
      </c>
      <c r="E6" s="22">
        <f>SUM(F6:H6)</f>
        <v>7500</v>
      </c>
      <c r="F6" s="22">
        <f>I18*J18</f>
        <v>5300</v>
      </c>
      <c r="G6" s="22">
        <v>200</v>
      </c>
      <c r="H6" s="22">
        <v>2000</v>
      </c>
    </row>
    <row r="7" spans="1:10" x14ac:dyDescent="0.2">
      <c r="A7" s="22" t="s">
        <v>475</v>
      </c>
      <c r="B7" s="22">
        <v>0</v>
      </c>
      <c r="D7" s="22" t="s">
        <v>474</v>
      </c>
      <c r="E7" s="22">
        <f>SUM(F7:G7)</f>
        <v>1700</v>
      </c>
      <c r="F7" s="22">
        <v>500</v>
      </c>
      <c r="G7" s="22">
        <v>1200</v>
      </c>
      <c r="H7" s="22" t="s">
        <v>507</v>
      </c>
    </row>
    <row r="8" spans="1:10" x14ac:dyDescent="0.2">
      <c r="A8" s="22" t="s">
        <v>476</v>
      </c>
      <c r="B8" s="22">
        <v>2600</v>
      </c>
      <c r="D8" s="22" t="s">
        <v>125</v>
      </c>
      <c r="E8" s="22">
        <v>2000</v>
      </c>
      <c r="F8" s="22" t="s">
        <v>512</v>
      </c>
    </row>
    <row r="9" spans="1:10" x14ac:dyDescent="0.2">
      <c r="A9" s="22" t="s">
        <v>478</v>
      </c>
      <c r="B9" s="22">
        <f>0.8*0.025*B8</f>
        <v>52.000000000000007</v>
      </c>
      <c r="D9" s="22" t="s">
        <v>477</v>
      </c>
      <c r="E9" s="22">
        <v>0</v>
      </c>
      <c r="F9" s="22" t="s">
        <v>513</v>
      </c>
      <c r="G9" s="22" t="s">
        <v>514</v>
      </c>
      <c r="H9" s="22" t="s">
        <v>515</v>
      </c>
      <c r="I9" s="22" t="s">
        <v>37</v>
      </c>
    </row>
    <row r="10" spans="1:10" x14ac:dyDescent="0.2">
      <c r="A10" s="22" t="s">
        <v>480</v>
      </c>
      <c r="B10" s="22">
        <v>0</v>
      </c>
      <c r="D10" s="22" t="s">
        <v>479</v>
      </c>
      <c r="E10" s="22">
        <f>SUM(F10:I10)</f>
        <v>3530</v>
      </c>
      <c r="F10" s="22">
        <v>2000</v>
      </c>
      <c r="G10" s="22">
        <v>20</v>
      </c>
      <c r="H10" s="22">
        <v>1500</v>
      </c>
      <c r="I10" s="22">
        <v>10</v>
      </c>
    </row>
    <row r="11" spans="1:10" x14ac:dyDescent="0.2">
      <c r="A11" s="22" t="s">
        <v>481</v>
      </c>
      <c r="B11" s="22">
        <f>SUM(B2:B10)</f>
        <v>40650</v>
      </c>
      <c r="D11" s="22" t="s">
        <v>131</v>
      </c>
      <c r="E11" s="22">
        <f>F11*0.33</f>
        <v>837.21</v>
      </c>
      <c r="F11" s="22">
        <v>2537</v>
      </c>
      <c r="G11" s="22" t="s">
        <v>516</v>
      </c>
    </row>
    <row r="12" spans="1:10" x14ac:dyDescent="0.2">
      <c r="D12" s="22" t="s">
        <v>482</v>
      </c>
      <c r="E12" s="22">
        <v>400</v>
      </c>
    </row>
    <row r="13" spans="1:10" x14ac:dyDescent="0.2">
      <c r="A13" s="22" t="s">
        <v>517</v>
      </c>
      <c r="D13" s="22" t="s">
        <v>481</v>
      </c>
      <c r="E13" s="22">
        <f>SUM(E2:E12)</f>
        <v>40644.21</v>
      </c>
      <c r="F13" s="22" t="s">
        <v>518</v>
      </c>
    </row>
    <row r="14" spans="1:10" x14ac:dyDescent="0.2">
      <c r="A14" s="22">
        <f>B11-E13</f>
        <v>5.7900000000008731</v>
      </c>
    </row>
    <row r="17" spans="4:10" x14ac:dyDescent="0.2">
      <c r="D17" s="22">
        <f>42000*0.02</f>
        <v>840</v>
      </c>
      <c r="I17" s="22" t="s">
        <v>519</v>
      </c>
      <c r="J17" s="22" t="s">
        <v>520</v>
      </c>
    </row>
    <row r="18" spans="4:10" x14ac:dyDescent="0.2">
      <c r="I18" s="22">
        <v>265</v>
      </c>
      <c r="J18" s="22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6">
    <outlinePr summaryBelow="0" summaryRight="0"/>
  </sheetPr>
  <dimension ref="A1:L22"/>
  <sheetViews>
    <sheetView workbookViewId="0"/>
  </sheetViews>
  <sheetFormatPr baseColWidth="10" defaultColWidth="12.5703125" defaultRowHeight="15.75" customHeight="1" x14ac:dyDescent="0.2"/>
  <cols>
    <col min="1" max="1" width="17.7109375" customWidth="1"/>
    <col min="4" max="4" width="24.42578125" customWidth="1"/>
  </cols>
  <sheetData>
    <row r="1" spans="1:10" x14ac:dyDescent="0.2">
      <c r="A1" s="22" t="s">
        <v>464</v>
      </c>
      <c r="B1" s="22" t="s">
        <v>141</v>
      </c>
      <c r="D1" s="22" t="s">
        <v>465</v>
      </c>
    </row>
    <row r="2" spans="1:10" x14ac:dyDescent="0.2">
      <c r="A2" s="22" t="s">
        <v>467</v>
      </c>
      <c r="B2" s="22">
        <v>38154</v>
      </c>
      <c r="D2" s="22" t="s">
        <v>466</v>
      </c>
      <c r="E2" s="22">
        <v>23344</v>
      </c>
      <c r="F2" s="22" t="s">
        <v>506</v>
      </c>
    </row>
    <row r="3" spans="1:10" x14ac:dyDescent="0.2">
      <c r="A3" s="22" t="s">
        <v>469</v>
      </c>
      <c r="D3" s="22" t="s">
        <v>468</v>
      </c>
      <c r="E3" s="22">
        <v>0</v>
      </c>
      <c r="F3" s="22" t="s">
        <v>507</v>
      </c>
    </row>
    <row r="4" spans="1:10" x14ac:dyDescent="0.2">
      <c r="A4" s="22" t="s">
        <v>154</v>
      </c>
      <c r="B4" s="22">
        <v>0</v>
      </c>
      <c r="D4" s="22" t="s">
        <v>470</v>
      </c>
      <c r="E4" s="22">
        <v>0</v>
      </c>
      <c r="F4" s="22" t="s">
        <v>508</v>
      </c>
      <c r="G4" s="22" t="s">
        <v>509</v>
      </c>
      <c r="H4" s="22" t="s">
        <v>120</v>
      </c>
      <c r="I4" s="22" t="s">
        <v>124</v>
      </c>
    </row>
    <row r="5" spans="1:10" x14ac:dyDescent="0.2">
      <c r="A5" s="22" t="s">
        <v>155</v>
      </c>
      <c r="B5" s="22">
        <v>0</v>
      </c>
      <c r="D5" s="22" t="s">
        <v>471</v>
      </c>
      <c r="E5" s="22">
        <f>SUM(F5:J5)</f>
        <v>14681</v>
      </c>
      <c r="F5" s="22">
        <v>12681</v>
      </c>
      <c r="G5" s="22">
        <v>625</v>
      </c>
      <c r="H5" s="22">
        <v>375</v>
      </c>
      <c r="I5" s="22">
        <v>1000</v>
      </c>
      <c r="J5" s="22" t="s">
        <v>522</v>
      </c>
    </row>
    <row r="6" spans="1:10" x14ac:dyDescent="0.2">
      <c r="A6" s="22" t="s">
        <v>473</v>
      </c>
      <c r="B6" s="22">
        <v>0</v>
      </c>
      <c r="D6" s="22" t="s">
        <v>511</v>
      </c>
      <c r="E6" s="22">
        <f>SUM(F6:H6)</f>
        <v>7200</v>
      </c>
      <c r="F6" s="22">
        <f>I18*J18</f>
        <v>5000</v>
      </c>
      <c r="G6" s="22">
        <v>200</v>
      </c>
      <c r="H6" s="22">
        <v>2000</v>
      </c>
    </row>
    <row r="7" spans="1:10" x14ac:dyDescent="0.2">
      <c r="A7" s="22" t="s">
        <v>475</v>
      </c>
      <c r="B7" s="22">
        <v>0</v>
      </c>
      <c r="D7" s="22" t="s">
        <v>474</v>
      </c>
      <c r="E7" s="22">
        <f>SUM(F7:G7)</f>
        <v>2700</v>
      </c>
      <c r="F7" s="22">
        <v>500</v>
      </c>
      <c r="G7" s="22">
        <v>2200</v>
      </c>
      <c r="H7" s="22" t="s">
        <v>507</v>
      </c>
    </row>
    <row r="8" spans="1:10" x14ac:dyDescent="0.2">
      <c r="A8" s="22" t="s">
        <v>476</v>
      </c>
      <c r="B8" s="22">
        <v>2400</v>
      </c>
      <c r="D8" s="22" t="s">
        <v>125</v>
      </c>
      <c r="E8" s="22">
        <v>2000</v>
      </c>
      <c r="F8" s="22" t="s">
        <v>512</v>
      </c>
    </row>
    <row r="9" spans="1:10" x14ac:dyDescent="0.2">
      <c r="A9" s="22" t="s">
        <v>478</v>
      </c>
      <c r="B9" s="22">
        <f>0.8*K18*B8</f>
        <v>115.2</v>
      </c>
      <c r="D9" s="22" t="s">
        <v>477</v>
      </c>
      <c r="E9" s="22">
        <v>0</v>
      </c>
      <c r="F9" s="22" t="s">
        <v>513</v>
      </c>
      <c r="G9" s="22" t="s">
        <v>514</v>
      </c>
      <c r="H9" s="22" t="s">
        <v>515</v>
      </c>
    </row>
    <row r="10" spans="1:10" x14ac:dyDescent="0.2">
      <c r="A10" s="22" t="s">
        <v>480</v>
      </c>
      <c r="B10" s="22">
        <v>0</v>
      </c>
      <c r="D10" s="22" t="s">
        <v>479</v>
      </c>
      <c r="E10" s="22">
        <f>SUM(F10:I10)</f>
        <v>3520</v>
      </c>
      <c r="F10" s="22">
        <v>2000</v>
      </c>
      <c r="G10" s="22">
        <v>20</v>
      </c>
      <c r="H10" s="22">
        <v>1500</v>
      </c>
    </row>
    <row r="11" spans="1:10" x14ac:dyDescent="0.2">
      <c r="A11" s="22" t="s">
        <v>481</v>
      </c>
      <c r="B11" s="22">
        <f>SUM(B2:B10)</f>
        <v>40669.199999999997</v>
      </c>
      <c r="D11" s="22" t="s">
        <v>131</v>
      </c>
      <c r="E11" s="22">
        <f>F11*0.33</f>
        <v>26009.61</v>
      </c>
      <c r="F11" s="22">
        <f>L18-G11</f>
        <v>78817</v>
      </c>
      <c r="H11" s="22" t="s">
        <v>523</v>
      </c>
    </row>
    <row r="12" spans="1:10" x14ac:dyDescent="0.2">
      <c r="D12" s="22" t="s">
        <v>482</v>
      </c>
      <c r="E12" s="22">
        <v>200</v>
      </c>
    </row>
    <row r="13" spans="1:10" x14ac:dyDescent="0.2">
      <c r="A13" s="22" t="s">
        <v>505</v>
      </c>
      <c r="D13" s="22" t="s">
        <v>481</v>
      </c>
      <c r="E13" s="22">
        <f>SUM(E2:E12)</f>
        <v>79654.61</v>
      </c>
      <c r="F13" s="22" t="s">
        <v>518</v>
      </c>
    </row>
    <row r="14" spans="1:10" x14ac:dyDescent="0.2">
      <c r="A14" s="22">
        <f>B11-E13</f>
        <v>-38985.410000000003</v>
      </c>
    </row>
    <row r="15" spans="1:10" x14ac:dyDescent="0.2">
      <c r="D15" s="22">
        <f>70000-E13</f>
        <v>-9654.61</v>
      </c>
    </row>
    <row r="16" spans="1:10" x14ac:dyDescent="0.2">
      <c r="E16" s="22">
        <f>SUM(E5:E15)</f>
        <v>135965.22</v>
      </c>
    </row>
    <row r="17" spans="4:12" x14ac:dyDescent="0.2">
      <c r="G17" s="22">
        <f>700+900+600</f>
        <v>2200</v>
      </c>
      <c r="I17" s="22" t="s">
        <v>519</v>
      </c>
      <c r="J17" s="22" t="s">
        <v>520</v>
      </c>
      <c r="K17" s="22" t="s">
        <v>524</v>
      </c>
      <c r="L17" s="22" t="s">
        <v>525</v>
      </c>
    </row>
    <row r="18" spans="4:12" x14ac:dyDescent="0.2">
      <c r="I18" s="22">
        <v>250</v>
      </c>
      <c r="J18" s="22">
        <v>20</v>
      </c>
      <c r="K18" s="22">
        <v>0.06</v>
      </c>
      <c r="L18" s="22">
        <v>78817</v>
      </c>
    </row>
    <row r="22" spans="4:12" x14ac:dyDescent="0.2">
      <c r="D22" s="22" t="s">
        <v>526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7">
    <outlinePr summaryBelow="0" summaryRight="0"/>
  </sheetPr>
  <dimension ref="A1:K18"/>
  <sheetViews>
    <sheetView workbookViewId="0"/>
  </sheetViews>
  <sheetFormatPr baseColWidth="10" defaultColWidth="12.5703125" defaultRowHeight="15.75" customHeight="1" x14ac:dyDescent="0.2"/>
  <cols>
    <col min="1" max="1" width="17.7109375" customWidth="1"/>
    <col min="4" max="4" width="24.42578125" customWidth="1"/>
  </cols>
  <sheetData>
    <row r="1" spans="1:9" x14ac:dyDescent="0.2">
      <c r="A1" s="22" t="s">
        <v>464</v>
      </c>
      <c r="B1" s="22" t="s">
        <v>141</v>
      </c>
      <c r="D1" s="22" t="s">
        <v>465</v>
      </c>
    </row>
    <row r="2" spans="1:9" x14ac:dyDescent="0.2">
      <c r="A2" s="22" t="s">
        <v>467</v>
      </c>
      <c r="B2" s="22">
        <v>74088</v>
      </c>
      <c r="D2" s="22" t="s">
        <v>466</v>
      </c>
      <c r="E2" s="22">
        <v>14556</v>
      </c>
      <c r="F2" s="22" t="s">
        <v>506</v>
      </c>
    </row>
    <row r="3" spans="1:9" x14ac:dyDescent="0.2">
      <c r="A3" s="22" t="s">
        <v>469</v>
      </c>
      <c r="B3" s="22">
        <v>0</v>
      </c>
      <c r="D3" s="22" t="s">
        <v>468</v>
      </c>
      <c r="E3" s="22">
        <v>0</v>
      </c>
      <c r="F3" s="22" t="s">
        <v>507</v>
      </c>
    </row>
    <row r="4" spans="1:9" x14ac:dyDescent="0.2">
      <c r="A4" s="22" t="s">
        <v>154</v>
      </c>
      <c r="B4" s="22">
        <v>0</v>
      </c>
      <c r="D4" s="22" t="s">
        <v>470</v>
      </c>
      <c r="E4" s="22">
        <v>12380</v>
      </c>
      <c r="F4" s="22" t="s">
        <v>508</v>
      </c>
      <c r="G4" s="22" t="s">
        <v>509</v>
      </c>
      <c r="H4" s="22" t="s">
        <v>120</v>
      </c>
      <c r="I4" s="22" t="s">
        <v>124</v>
      </c>
    </row>
    <row r="5" spans="1:9" x14ac:dyDescent="0.2">
      <c r="A5" s="22" t="s">
        <v>155</v>
      </c>
      <c r="B5" s="22">
        <v>0</v>
      </c>
      <c r="D5" s="22" t="s">
        <v>471</v>
      </c>
      <c r="E5" s="22">
        <f>SUM(F5:J5)</f>
        <v>14681</v>
      </c>
      <c r="F5" s="22">
        <v>12681</v>
      </c>
      <c r="G5" s="22">
        <v>625</v>
      </c>
      <c r="H5" s="22">
        <v>375</v>
      </c>
      <c r="I5" s="22">
        <v>1000</v>
      </c>
    </row>
    <row r="6" spans="1:9" x14ac:dyDescent="0.2">
      <c r="A6" s="22" t="s">
        <v>473</v>
      </c>
      <c r="B6" s="22">
        <v>0</v>
      </c>
      <c r="D6" s="22" t="s">
        <v>511</v>
      </c>
      <c r="E6" s="22">
        <f>SUM(F6:H6)</f>
        <v>7200</v>
      </c>
      <c r="F6" s="22">
        <f>I18*J18</f>
        <v>5000</v>
      </c>
      <c r="G6" s="22">
        <v>200</v>
      </c>
      <c r="H6" s="22">
        <v>2000</v>
      </c>
    </row>
    <row r="7" spans="1:9" x14ac:dyDescent="0.2">
      <c r="A7" s="22" t="s">
        <v>475</v>
      </c>
      <c r="B7" s="22">
        <v>0</v>
      </c>
      <c r="D7" s="22" t="s">
        <v>474</v>
      </c>
      <c r="E7" s="22">
        <f>SUM(F7:G7)</f>
        <v>2700</v>
      </c>
      <c r="F7" s="22">
        <v>500</v>
      </c>
      <c r="G7" s="22">
        <v>2200</v>
      </c>
      <c r="H7" s="22" t="s">
        <v>507</v>
      </c>
    </row>
    <row r="8" spans="1:9" x14ac:dyDescent="0.2">
      <c r="A8" s="22" t="s">
        <v>476</v>
      </c>
      <c r="B8" s="22">
        <v>0</v>
      </c>
      <c r="D8" s="22" t="s">
        <v>125</v>
      </c>
      <c r="E8" s="22">
        <v>2000</v>
      </c>
      <c r="F8" s="22" t="s">
        <v>512</v>
      </c>
    </row>
    <row r="9" spans="1:9" x14ac:dyDescent="0.2">
      <c r="A9" s="22" t="s">
        <v>478</v>
      </c>
      <c r="B9" s="22">
        <f>0.8*K18*B8</f>
        <v>0</v>
      </c>
      <c r="D9" s="22" t="s">
        <v>477</v>
      </c>
      <c r="E9" s="22">
        <v>0</v>
      </c>
      <c r="F9" s="22" t="s">
        <v>513</v>
      </c>
      <c r="G9" s="22" t="s">
        <v>514</v>
      </c>
      <c r="H9" s="22" t="s">
        <v>515</v>
      </c>
    </row>
    <row r="10" spans="1:9" x14ac:dyDescent="0.2">
      <c r="A10" s="22" t="s">
        <v>480</v>
      </c>
      <c r="B10" s="22">
        <v>0</v>
      </c>
      <c r="D10" s="22" t="s">
        <v>479</v>
      </c>
      <c r="E10" s="22">
        <f>SUM(F10:I10)</f>
        <v>3520</v>
      </c>
      <c r="F10" s="22">
        <v>2000</v>
      </c>
      <c r="G10" s="22">
        <v>20</v>
      </c>
      <c r="H10" s="22">
        <v>1500</v>
      </c>
    </row>
    <row r="11" spans="1:9" x14ac:dyDescent="0.2">
      <c r="A11" s="22" t="s">
        <v>481</v>
      </c>
      <c r="B11" s="22">
        <f>SUM(B2:B10)</f>
        <v>74088</v>
      </c>
      <c r="D11" s="22" t="s">
        <v>131</v>
      </c>
      <c r="E11" s="22">
        <f>F11*0.33</f>
        <v>883.08</v>
      </c>
      <c r="F11" s="22">
        <v>2676</v>
      </c>
      <c r="G11" s="22" t="s">
        <v>516</v>
      </c>
    </row>
    <row r="12" spans="1:9" x14ac:dyDescent="0.2">
      <c r="D12" s="22" t="s">
        <v>482</v>
      </c>
      <c r="E12" s="22">
        <v>200</v>
      </c>
    </row>
    <row r="13" spans="1:9" x14ac:dyDescent="0.2">
      <c r="A13" s="22" t="s">
        <v>505</v>
      </c>
      <c r="D13" s="22" t="s">
        <v>481</v>
      </c>
      <c r="E13" s="22">
        <f>SUM(E2:E12)</f>
        <v>58120.08</v>
      </c>
      <c r="F13" s="22" t="s">
        <v>518</v>
      </c>
    </row>
    <row r="14" spans="1:9" x14ac:dyDescent="0.2">
      <c r="A14" s="22">
        <f>B11-E13</f>
        <v>15967.919999999998</v>
      </c>
    </row>
    <row r="16" spans="1:9" x14ac:dyDescent="0.2">
      <c r="E16" s="22">
        <f>SUM(E5:E15)</f>
        <v>89304.16</v>
      </c>
    </row>
    <row r="17" spans="7:11" x14ac:dyDescent="0.2">
      <c r="G17" s="22">
        <f>700+900+600</f>
        <v>2200</v>
      </c>
      <c r="I17" s="22" t="s">
        <v>519</v>
      </c>
      <c r="J17" s="22" t="s">
        <v>520</v>
      </c>
      <c r="K17" s="22" t="s">
        <v>524</v>
      </c>
    </row>
    <row r="18" spans="7:11" x14ac:dyDescent="0.2">
      <c r="I18" s="22">
        <v>250</v>
      </c>
      <c r="J18" s="22">
        <v>20</v>
      </c>
      <c r="K18" s="22">
        <v>0.06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051C-565B-4203-B532-F6DAB0E7DE78}">
  <dimension ref="A1:A10"/>
  <sheetViews>
    <sheetView workbookViewId="0">
      <selection activeCell="B21" sqref="B21"/>
    </sheetView>
  </sheetViews>
  <sheetFormatPr baseColWidth="10" defaultRowHeight="12.75" x14ac:dyDescent="0.2"/>
  <cols>
    <col min="1" max="1" width="6.7109375" bestFit="1" customWidth="1"/>
  </cols>
  <sheetData>
    <row r="1" spans="1:1" x14ac:dyDescent="0.2">
      <c r="A1" s="17" t="s">
        <v>530</v>
      </c>
    </row>
    <row r="2" spans="1:1" x14ac:dyDescent="0.2">
      <c r="A2" t="s">
        <v>531</v>
      </c>
    </row>
    <row r="3" spans="1:1" x14ac:dyDescent="0.2">
      <c r="A3" t="s">
        <v>532</v>
      </c>
    </row>
    <row r="8" spans="1:1" x14ac:dyDescent="0.2">
      <c r="A8" s="16"/>
    </row>
    <row r="9" spans="1:1" x14ac:dyDescent="0.2">
      <c r="A9" s="16"/>
    </row>
    <row r="10" spans="1:1" x14ac:dyDescent="0.2">
      <c r="A10" s="1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175B-69CC-4839-BC94-E5D48BD9AE4E}">
  <dimension ref="A1:A4"/>
  <sheetViews>
    <sheetView workbookViewId="0"/>
  </sheetViews>
  <sheetFormatPr baseColWidth="10" defaultRowHeight="12.75" x14ac:dyDescent="0.2"/>
  <sheetData>
    <row r="1" spans="1:1" x14ac:dyDescent="0.2">
      <c r="A1" s="17" t="s">
        <v>528</v>
      </c>
    </row>
    <row r="2" spans="1:1" x14ac:dyDescent="0.2">
      <c r="A2" t="s">
        <v>263</v>
      </c>
    </row>
    <row r="3" spans="1:1" x14ac:dyDescent="0.2">
      <c r="A3" t="s">
        <v>264</v>
      </c>
    </row>
    <row r="4" spans="1:1" x14ac:dyDescent="0.2">
      <c r="A4" t="s">
        <v>529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DBB2-4A04-40CD-9B37-F2EB199D6230}">
  <dimension ref="A1:G4"/>
  <sheetViews>
    <sheetView workbookViewId="0">
      <selection activeCell="F19" sqref="F19"/>
    </sheetView>
  </sheetViews>
  <sheetFormatPr baseColWidth="10" defaultRowHeight="12.75" x14ac:dyDescent="0.2"/>
  <cols>
    <col min="1" max="1" width="8.42578125" bestFit="1" customWidth="1"/>
    <col min="2" max="2" width="5.7109375" bestFit="1" customWidth="1"/>
    <col min="3" max="3" width="6.7109375" bestFit="1" customWidth="1"/>
    <col min="5" max="5" width="37.42578125" bestFit="1" customWidth="1"/>
  </cols>
  <sheetData>
    <row r="1" spans="1:7" x14ac:dyDescent="0.2">
      <c r="A1" s="28" t="s">
        <v>528</v>
      </c>
      <c r="B1" s="28" t="s">
        <v>531</v>
      </c>
      <c r="C1" s="28" t="s">
        <v>532</v>
      </c>
      <c r="D1" s="28"/>
      <c r="F1" s="28"/>
      <c r="G1" s="28"/>
    </row>
    <row r="2" spans="1:7" x14ac:dyDescent="0.2">
      <c r="A2" t="str" cm="1">
        <f t="array" ref="A2:A4">Param_Produits!A2:INDEX(Param_Produits!A:A,COUNTA(Param_Produits!A:A))</f>
        <v>Ski Elite</v>
      </c>
      <c r="B2">
        <v>16</v>
      </c>
      <c r="C2">
        <v>4</v>
      </c>
    </row>
    <row r="3" spans="1:7" x14ac:dyDescent="0.2">
      <c r="A3" t="str">
        <v>Ski 2000</v>
      </c>
      <c r="B3">
        <v>6</v>
      </c>
      <c r="C3">
        <v>14</v>
      </c>
    </row>
    <row r="4" spans="1:7" x14ac:dyDescent="0.2">
      <c r="A4" t="str">
        <v>Raquette</v>
      </c>
      <c r="B4">
        <v>5</v>
      </c>
      <c r="C4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3428-B98A-4C56-A798-FFF18A6895BF}">
  <dimension ref="A1:M16"/>
  <sheetViews>
    <sheetView workbookViewId="0">
      <selection activeCell="C15" sqref="C15"/>
    </sheetView>
  </sheetViews>
  <sheetFormatPr baseColWidth="10" defaultRowHeight="12.75" x14ac:dyDescent="0.2"/>
  <cols>
    <col min="1" max="1" width="14.42578125" bestFit="1" customWidth="1"/>
    <col min="2" max="13" width="6" bestFit="1" customWidth="1"/>
  </cols>
  <sheetData>
    <row r="1" spans="1:13" x14ac:dyDescent="0.2">
      <c r="A1" s="28" t="s">
        <v>543</v>
      </c>
      <c r="B1" t="str" cm="1">
        <f t="array" ref="B1:M1">"P"&amp;_xlfn.SEQUENCE(1, PARAMETRES_GENERAUX!$B$2, PARAMETRES_GENERAUX!$B$3)</f>
        <v>P1</v>
      </c>
      <c r="C1" t="str">
        <v>P2</v>
      </c>
      <c r="D1" t="str">
        <v>P3</v>
      </c>
      <c r="E1" t="str">
        <v>P4</v>
      </c>
      <c r="F1" t="str">
        <v>P5</v>
      </c>
      <c r="G1" t="str">
        <v>P6</v>
      </c>
      <c r="H1" t="str">
        <v>P7</v>
      </c>
      <c r="I1" t="str">
        <v>P8</v>
      </c>
      <c r="J1" t="str">
        <v>P9</v>
      </c>
      <c r="K1" t="str">
        <v>P10</v>
      </c>
      <c r="L1" t="str">
        <v>P11</v>
      </c>
      <c r="M1" t="str">
        <v>P12</v>
      </c>
    </row>
    <row r="2" spans="1:13" x14ac:dyDescent="0.2">
      <c r="A2" t="str" cm="1">
        <f t="array" ref="A2:A3">_xlfn._xlws.FILTER(Param_MP!A2:A100, Param_MP!A2:A100&lt;&gt;"", "")</f>
        <v>Fibre</v>
      </c>
      <c r="B2" s="31">
        <v>6</v>
      </c>
      <c r="C2" s="31">
        <v>6</v>
      </c>
      <c r="D2" s="31">
        <v>6</v>
      </c>
      <c r="E2" s="31">
        <v>6</v>
      </c>
      <c r="F2" s="31">
        <v>6</v>
      </c>
      <c r="G2" s="31">
        <v>6</v>
      </c>
      <c r="H2" s="31">
        <v>6</v>
      </c>
      <c r="I2" s="31">
        <v>6</v>
      </c>
      <c r="J2" s="31">
        <v>6</v>
      </c>
      <c r="K2" s="31">
        <v>6</v>
      </c>
      <c r="L2" s="31">
        <v>6</v>
      </c>
      <c r="M2" s="31">
        <v>6</v>
      </c>
    </row>
    <row r="3" spans="1:13" x14ac:dyDescent="0.2">
      <c r="A3" t="str">
        <v>Résine</v>
      </c>
      <c r="B3" s="31">
        <v>1.25</v>
      </c>
      <c r="C3" s="31">
        <v>1.25</v>
      </c>
      <c r="D3" s="31">
        <v>1.25</v>
      </c>
      <c r="E3" s="31">
        <v>1.25</v>
      </c>
      <c r="F3" s="31">
        <v>1.25</v>
      </c>
      <c r="G3" s="31">
        <v>1.25</v>
      </c>
      <c r="H3" s="31">
        <v>1.25</v>
      </c>
      <c r="I3" s="31">
        <v>1.25</v>
      </c>
      <c r="J3" s="31">
        <v>1.25</v>
      </c>
      <c r="K3" s="31">
        <v>1.25</v>
      </c>
      <c r="L3" s="31">
        <v>1.25</v>
      </c>
      <c r="M3" s="31">
        <v>1.25</v>
      </c>
    </row>
    <row r="4" spans="1:13" x14ac:dyDescent="0.2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x14ac:dyDescent="0.2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x14ac:dyDescent="0.2">
      <c r="A6" s="28" t="s">
        <v>544</v>
      </c>
      <c r="B6" t="str" cm="1">
        <f t="array" ref="B6:M6">"P"&amp;_xlfn.SEQUENCE(1, PARAMETRES_GENERAUX!$B$2, PARAMETRES_GENERAUX!$B$3)</f>
        <v>P1</v>
      </c>
      <c r="C6" t="str">
        <v>P2</v>
      </c>
      <c r="D6" t="str">
        <v>P3</v>
      </c>
      <c r="E6" t="str">
        <v>P4</v>
      </c>
      <c r="F6" t="str">
        <v>P5</v>
      </c>
      <c r="G6" t="str">
        <v>P6</v>
      </c>
      <c r="H6" t="str">
        <v>P7</v>
      </c>
      <c r="I6" t="str">
        <v>P8</v>
      </c>
      <c r="J6" t="str">
        <v>P9</v>
      </c>
      <c r="K6" t="str">
        <v>P10</v>
      </c>
      <c r="L6" t="str">
        <v>P11</v>
      </c>
      <c r="M6" t="str">
        <v>P12</v>
      </c>
    </row>
    <row r="7" spans="1:13" x14ac:dyDescent="0.2">
      <c r="A7" t="str" cm="1">
        <f t="array" ref="A7:A8">_xlfn._xlws.FILTER(Param_MP!A2:A100, Param_MP!A2:A100&lt;&gt;"", "")</f>
        <v>Fibre</v>
      </c>
      <c r="B7" s="31">
        <v>6.5</v>
      </c>
      <c r="C7" s="31">
        <v>6.5</v>
      </c>
      <c r="D7" s="31">
        <v>6.5</v>
      </c>
      <c r="E7" s="31">
        <v>6.5</v>
      </c>
      <c r="F7" s="31">
        <v>6.5</v>
      </c>
      <c r="G7" s="31">
        <v>6.5</v>
      </c>
      <c r="H7" s="31">
        <v>6.5</v>
      </c>
      <c r="I7" s="31">
        <v>6.5</v>
      </c>
      <c r="J7" s="31">
        <v>6.5</v>
      </c>
      <c r="K7" s="31">
        <v>6.5</v>
      </c>
      <c r="L7" s="31">
        <v>6.5</v>
      </c>
      <c r="M7" s="31">
        <v>6.5</v>
      </c>
    </row>
    <row r="8" spans="1:13" x14ac:dyDescent="0.2">
      <c r="A8" t="str">
        <v>Résine</v>
      </c>
      <c r="B8" s="31">
        <v>1.6259999999999999</v>
      </c>
      <c r="C8" s="31">
        <v>1.6259999999999999</v>
      </c>
      <c r="D8" s="31">
        <v>1.6259999999999999</v>
      </c>
      <c r="E8" s="31">
        <v>1.6259999999999999</v>
      </c>
      <c r="F8" s="31">
        <v>1.6259999999999999</v>
      </c>
      <c r="G8" s="31">
        <v>1.6259999999999999</v>
      </c>
      <c r="H8" s="31">
        <v>1.6259999999999999</v>
      </c>
      <c r="I8" s="31">
        <v>1.6259999999999999</v>
      </c>
      <c r="J8" s="31">
        <v>1.6259999999999999</v>
      </c>
      <c r="K8" s="31">
        <v>1.6259999999999999</v>
      </c>
      <c r="L8" s="31">
        <v>1.6259999999999999</v>
      </c>
      <c r="M8" s="31">
        <v>1.6259999999999999</v>
      </c>
    </row>
    <row r="13" spans="1:13" x14ac:dyDescent="0.2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1:13" x14ac:dyDescent="0.2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x14ac:dyDescent="0.2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 x14ac:dyDescent="0.2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4616-1AF7-42CC-B699-5CDF425AA10C}">
  <dimension ref="A1:M7"/>
  <sheetViews>
    <sheetView workbookViewId="0">
      <selection activeCell="B4" sqref="B4:M7"/>
    </sheetView>
  </sheetViews>
  <sheetFormatPr baseColWidth="10" defaultRowHeight="12.75" x14ac:dyDescent="0.2"/>
  <cols>
    <col min="1" max="1" width="11.42578125" bestFit="1" customWidth="1"/>
    <col min="2" max="13" width="4.7109375" bestFit="1" customWidth="1"/>
  </cols>
  <sheetData>
    <row r="1" spans="1:13" x14ac:dyDescent="0.2">
      <c r="A1" s="28" t="s">
        <v>545</v>
      </c>
      <c r="B1" t="str" cm="1">
        <f t="array" ref="B1:M1">"P"&amp;_xlfn.SEQUENCE(1, PARAMETRES_GENERAUX!$B$2, PARAMETRES_GENERAUX!$B$3)</f>
        <v>P1</v>
      </c>
      <c r="C1" t="str">
        <v>P2</v>
      </c>
      <c r="D1" t="str">
        <v>P3</v>
      </c>
      <c r="E1" t="str">
        <v>P4</v>
      </c>
      <c r="F1" t="str">
        <v>P5</v>
      </c>
      <c r="G1" t="str">
        <v>P6</v>
      </c>
      <c r="H1" t="str">
        <v>P7</v>
      </c>
      <c r="I1" t="str">
        <v>P8</v>
      </c>
      <c r="J1" t="str">
        <v>P9</v>
      </c>
      <c r="K1" t="str">
        <v>P10</v>
      </c>
      <c r="L1" t="str">
        <v>P11</v>
      </c>
      <c r="M1" t="str">
        <v>P12</v>
      </c>
    </row>
    <row r="2" spans="1:13" x14ac:dyDescent="0.2">
      <c r="A2" t="str" cm="1">
        <f t="array" ref="A2:A3">_xlfn._xlws.FILTER(Param_MP!A2:A100, Param_MP!A2:A100&lt;&gt;"", "")</f>
        <v>Fibre</v>
      </c>
      <c r="B2" s="32">
        <v>0.1</v>
      </c>
      <c r="C2" s="32">
        <v>0.1</v>
      </c>
      <c r="D2" s="32">
        <v>0.1</v>
      </c>
      <c r="E2" s="32">
        <v>0.1</v>
      </c>
      <c r="F2" s="32">
        <v>0.1</v>
      </c>
      <c r="G2" s="32">
        <v>0.1</v>
      </c>
      <c r="H2" s="32">
        <v>0.1</v>
      </c>
      <c r="I2" s="32">
        <v>0.1</v>
      </c>
      <c r="J2" s="32">
        <v>0.1</v>
      </c>
      <c r="K2" s="32">
        <v>0.1</v>
      </c>
      <c r="L2" s="32">
        <v>0.1</v>
      </c>
      <c r="M2" s="32">
        <v>0.1</v>
      </c>
    </row>
    <row r="3" spans="1:13" x14ac:dyDescent="0.2">
      <c r="A3" t="str">
        <v>Résine</v>
      </c>
      <c r="B3" s="32">
        <v>0.3</v>
      </c>
      <c r="C3" s="32">
        <v>0.3</v>
      </c>
      <c r="D3" s="32">
        <v>0.3</v>
      </c>
      <c r="E3" s="32">
        <v>0.3</v>
      </c>
      <c r="F3" s="32">
        <v>0.3</v>
      </c>
      <c r="G3" s="32">
        <v>0.3</v>
      </c>
      <c r="H3" s="32">
        <v>0.3</v>
      </c>
      <c r="I3" s="32">
        <v>0.3</v>
      </c>
      <c r="J3" s="32">
        <v>0.3</v>
      </c>
      <c r="K3" s="32">
        <v>0.3</v>
      </c>
      <c r="L3" s="32">
        <v>0.3</v>
      </c>
      <c r="M3" s="32">
        <v>0.3</v>
      </c>
    </row>
    <row r="4" spans="1:13" x14ac:dyDescent="0.2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x14ac:dyDescent="0.2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x14ac:dyDescent="0.2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</row>
    <row r="7" spans="1:13" x14ac:dyDescent="0.2"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4121-2BC5-4604-8576-E28CF17D0D37}">
  <dimension ref="A1:M4"/>
  <sheetViews>
    <sheetView workbookViewId="0">
      <selection activeCell="B4" sqref="B4"/>
    </sheetView>
  </sheetViews>
  <sheetFormatPr baseColWidth="10" defaultRowHeight="12.75" x14ac:dyDescent="0.2"/>
  <cols>
    <col min="1" max="1" width="17.7109375" bestFit="1" customWidth="1"/>
    <col min="2" max="10" width="4" bestFit="1" customWidth="1"/>
    <col min="11" max="13" width="4.28515625" bestFit="1" customWidth="1"/>
  </cols>
  <sheetData>
    <row r="1" spans="1:13" x14ac:dyDescent="0.2">
      <c r="A1" s="34" t="s">
        <v>546</v>
      </c>
      <c r="B1" s="34" t="str" cm="1">
        <f t="array" ref="B1:M1">TRANSPOSE("P"&amp;_xlfn.SEQUENCE(PARAMETRES_GENERAUX!$B$2))</f>
        <v>P1</v>
      </c>
      <c r="C1" s="34" t="str">
        <v>P2</v>
      </c>
      <c r="D1" s="34" t="str">
        <v>P3</v>
      </c>
      <c r="E1" s="34" t="str">
        <v>P4</v>
      </c>
      <c r="F1" s="34" t="str">
        <v>P5</v>
      </c>
      <c r="G1" s="34" t="str">
        <v>P6</v>
      </c>
      <c r="H1" s="34" t="str">
        <v>P7</v>
      </c>
      <c r="I1" s="34" t="str">
        <v>P8</v>
      </c>
      <c r="J1" s="34" t="str">
        <v>P9</v>
      </c>
      <c r="K1" s="34" t="str">
        <v>P10</v>
      </c>
      <c r="L1" s="34" t="str">
        <v>P11</v>
      </c>
      <c r="M1" s="34" t="str">
        <v>P12</v>
      </c>
    </row>
    <row r="2" spans="1:13" x14ac:dyDescent="0.2">
      <c r="A2" t="str" cm="1">
        <f t="array" ref="A2:A4">_xlfn._xlws.FILTER(Param_Produits!A2:A100, Param_Produits!A2:A100&lt;&gt;"")</f>
        <v>Ski Elite</v>
      </c>
      <c r="B2">
        <v>120</v>
      </c>
      <c r="C2">
        <v>180</v>
      </c>
      <c r="D2">
        <v>150</v>
      </c>
      <c r="E2">
        <v>200</v>
      </c>
      <c r="F2">
        <v>180</v>
      </c>
      <c r="G2">
        <v>160</v>
      </c>
      <c r="H2">
        <v>140</v>
      </c>
      <c r="I2">
        <v>170</v>
      </c>
      <c r="J2">
        <v>190</v>
      </c>
      <c r="K2">
        <v>210</v>
      </c>
      <c r="L2">
        <v>200</v>
      </c>
      <c r="M2">
        <v>180</v>
      </c>
    </row>
    <row r="3" spans="1:13" x14ac:dyDescent="0.2">
      <c r="A3" t="str">
        <v>Ski 2000</v>
      </c>
      <c r="B3">
        <v>79</v>
      </c>
      <c r="C3">
        <v>100</v>
      </c>
      <c r="D3">
        <v>90</v>
      </c>
      <c r="E3">
        <v>120</v>
      </c>
      <c r="F3">
        <v>110</v>
      </c>
      <c r="G3">
        <v>100</v>
      </c>
      <c r="H3">
        <v>95</v>
      </c>
      <c r="I3">
        <v>105</v>
      </c>
      <c r="J3">
        <v>115</v>
      </c>
      <c r="K3">
        <v>125</v>
      </c>
      <c r="L3">
        <v>120</v>
      </c>
      <c r="M3">
        <v>110</v>
      </c>
    </row>
    <row r="4" spans="1:13" x14ac:dyDescent="0.2">
      <c r="A4" t="str">
        <v>Raquette</v>
      </c>
      <c r="B4">
        <v>50</v>
      </c>
      <c r="C4">
        <v>60</v>
      </c>
      <c r="D4">
        <v>55</v>
      </c>
      <c r="E4">
        <v>70</v>
      </c>
      <c r="F4">
        <v>65</v>
      </c>
      <c r="G4">
        <v>60</v>
      </c>
      <c r="H4">
        <v>55</v>
      </c>
      <c r="I4">
        <v>65</v>
      </c>
      <c r="J4">
        <v>70</v>
      </c>
      <c r="K4">
        <v>80</v>
      </c>
      <c r="L4">
        <v>75</v>
      </c>
      <c r="M4">
        <v>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2B51-B711-45DF-BC7A-6F4ECB625CE4}">
  <dimension ref="A1:M8"/>
  <sheetViews>
    <sheetView topLeftCell="A4" workbookViewId="0">
      <selection activeCell="B4" sqref="B4"/>
    </sheetView>
  </sheetViews>
  <sheetFormatPr baseColWidth="10" defaultRowHeight="12.75" x14ac:dyDescent="0.2"/>
  <cols>
    <col min="1" max="1" width="18.5703125" bestFit="1" customWidth="1"/>
    <col min="2" max="13" width="8.140625" bestFit="1" customWidth="1"/>
  </cols>
  <sheetData>
    <row r="1" spans="1:13" x14ac:dyDescent="0.2">
      <c r="A1" s="28" t="s">
        <v>533</v>
      </c>
      <c r="B1" t="str" cm="1">
        <f t="array" ref="B1:M1">"P"&amp;_xlfn.SEQUENCE(1, PARAMETRES_GENERAUX!$B$2, PARAMETRES_GENERAUX!$B$3)</f>
        <v>P1</v>
      </c>
      <c r="C1" t="str">
        <v>P2</v>
      </c>
      <c r="D1" t="str">
        <v>P3</v>
      </c>
      <c r="E1" t="str">
        <v>P4</v>
      </c>
      <c r="F1" t="str">
        <v>P5</v>
      </c>
      <c r="G1" t="str">
        <v>P6</v>
      </c>
      <c r="H1" t="str">
        <v>P7</v>
      </c>
      <c r="I1" t="str">
        <v>P8</v>
      </c>
      <c r="J1" t="str">
        <v>P9</v>
      </c>
      <c r="K1" t="str">
        <v>P10</v>
      </c>
      <c r="L1" t="str">
        <v>P11</v>
      </c>
      <c r="M1" t="str">
        <v>P12</v>
      </c>
    </row>
    <row r="2" spans="1:13" x14ac:dyDescent="0.2">
      <c r="A2" s="28" t="s">
        <v>143</v>
      </c>
      <c r="B2" s="33">
        <f>SUM(B3:INDEX(B:B, COUNTA(Param_MP!$A:$A)+1))</f>
        <v>4480</v>
      </c>
      <c r="C2" s="33">
        <f>SUM(C3:INDEX(C:C, COUNTA(Param_MP!$A:$A)+1))</f>
        <v>6200</v>
      </c>
      <c r="D2" s="33">
        <f>SUM(D3:INDEX(D:D, COUNTA(Param_MP!$A:$A)+1))</f>
        <v>5350</v>
      </c>
      <c r="E2" s="33">
        <f>SUM(E3:INDEX(E:E, COUNTA(Param_MP!$A:$A)+1))</f>
        <v>7100</v>
      </c>
      <c r="F2" s="33">
        <f>SUM(F3:INDEX(F:F, COUNTA(Param_MP!$A:$A)+1))</f>
        <v>6450</v>
      </c>
      <c r="G2" s="33">
        <f>SUM(G3:INDEX(G:G, COUNTA(Param_MP!$A:$A)+1))</f>
        <v>5800</v>
      </c>
      <c r="H2" s="33">
        <f>SUM(H3:INDEX(H:H, COUNTA(Param_MP!$A:$A)+1))</f>
        <v>5250</v>
      </c>
      <c r="I2" s="33">
        <f>SUM(I3:INDEX(I:I, COUNTA(Param_MP!$A:$A)+1))</f>
        <v>6150</v>
      </c>
      <c r="J2" s="33">
        <f>SUM(J3:INDEX(J:J, COUNTA(Param_MP!$A:$A)+1))</f>
        <v>6800</v>
      </c>
      <c r="K2" s="33">
        <f>SUM(K3:INDEX(K:K, COUNTA(Param_MP!$A:$A)+1))</f>
        <v>7500</v>
      </c>
      <c r="L2" s="33">
        <f>SUM(L3:INDEX(L:L, COUNTA(Param_MP!$A:$A)+1))</f>
        <v>7150</v>
      </c>
      <c r="M2" s="33">
        <f>SUM(M3:INDEX(M:M, COUNTA(Param_MP!$A:$A)+1))</f>
        <v>6500</v>
      </c>
    </row>
    <row r="3" spans="1:13" x14ac:dyDescent="0.2">
      <c r="A3" t="str" cm="1">
        <f t="array" ref="A3:A4">_xlfn._xlws.FILTER(Param_MP!A2:A100, Param_MP!A2:A100&lt;&gt;"", "")</f>
        <v>Fibre</v>
      </c>
      <c r="B3" s="29" cm="1">
        <f t="array" ref="B3">SUMPRODUCT(
    (Plan_Production!$A$2:$A$10&lt;&gt;"") *
    _xlfn.XLOOKUP(Plan_Production!$A$2:$A$10, BOM_Produits!$A$2:$A$10,
            INDEX(BOM_Produits!$B$2:$G$10, 0, MATCH($A3, BOM_Produits!$B$1:$G$1, 0)), 0) *
    INDEX(Plan_Production!$B$2:$M$10, 0, VALUE(SUBSTITUTE(B$1, "P", "")))
)</f>
        <v>2644</v>
      </c>
      <c r="C3" s="29" cm="1">
        <f t="array" ref="C3">SUMPRODUCT(
    (Plan_Production!$A$2:$A$10&lt;&gt;"") *
    _xlfn.XLOOKUP(Plan_Production!$A$2:$A$10, BOM_Produits!$A$2:$A$10,
            INDEX(BOM_Produits!$B$2:$G$10, 0, MATCH($A3, BOM_Produits!$B$1:$G$1, 0)), 0) *
    INDEX(Plan_Production!$B$2:$M$10, 0, VALUE(SUBSTITUTE(C$1, "P", "")))
)</f>
        <v>3780</v>
      </c>
      <c r="D3" s="29" cm="1">
        <f t="array" ref="D3">SUMPRODUCT(
    (Plan_Production!$A$2:$A$10&lt;&gt;"") *
    _xlfn.XLOOKUP(Plan_Production!$A$2:$A$10, BOM_Produits!$A$2:$A$10,
            INDEX(BOM_Produits!$B$2:$G$10, 0, MATCH($A3, BOM_Produits!$B$1:$G$1, 0)), 0) *
    INDEX(Plan_Production!$B$2:$M$10, 0, VALUE(SUBSTITUTE(D$1, "P", "")))
)</f>
        <v>3215</v>
      </c>
      <c r="E3" s="29" cm="1">
        <f t="array" ref="E3">SUMPRODUCT(
    (Plan_Production!$A$2:$A$10&lt;&gt;"") *
    _xlfn.XLOOKUP(Plan_Production!$A$2:$A$10, BOM_Produits!$A$2:$A$10,
            INDEX(BOM_Produits!$B$2:$G$10, 0, MATCH($A3, BOM_Produits!$B$1:$G$1, 0)), 0) *
    INDEX(Plan_Production!$B$2:$M$10, 0, VALUE(SUBSTITUTE(E$1, "P", "")))
)</f>
        <v>4270</v>
      </c>
      <c r="F3" s="29" cm="1">
        <f t="array" ref="F3">SUMPRODUCT(
    (Plan_Production!$A$2:$A$10&lt;&gt;"") *
    _xlfn.XLOOKUP(Plan_Production!$A$2:$A$10, BOM_Produits!$A$2:$A$10,
            INDEX(BOM_Produits!$B$2:$G$10, 0, MATCH($A3, BOM_Produits!$B$1:$G$1, 0)), 0) *
    INDEX(Plan_Production!$B$2:$M$10, 0, VALUE(SUBSTITUTE(F$1, "P", "")))
)</f>
        <v>3865</v>
      </c>
      <c r="G3" s="29" cm="1">
        <f t="array" ref="G3">SUMPRODUCT(
    (Plan_Production!$A$2:$A$10&lt;&gt;"") *
    _xlfn.XLOOKUP(Plan_Production!$A$2:$A$10, BOM_Produits!$A$2:$A$10,
            INDEX(BOM_Produits!$B$2:$G$10, 0, MATCH($A3, BOM_Produits!$B$1:$G$1, 0)), 0) *
    INDEX(Plan_Production!$B$2:$M$10, 0, VALUE(SUBSTITUTE(G$1, "P", "")))
)</f>
        <v>3460</v>
      </c>
      <c r="H3" s="29" cm="1">
        <f t="array" ref="H3">SUMPRODUCT(
    (Plan_Production!$A$2:$A$10&lt;&gt;"") *
    _xlfn.XLOOKUP(Plan_Production!$A$2:$A$10, BOM_Produits!$A$2:$A$10,
            INDEX(BOM_Produits!$B$2:$G$10, 0, MATCH($A3, BOM_Produits!$B$1:$G$1, 0)), 0) *
    INDEX(Plan_Production!$B$2:$M$10, 0, VALUE(SUBSTITUTE(H$1, "P", "")))
)</f>
        <v>3085</v>
      </c>
      <c r="I3" s="29" cm="1">
        <f t="array" ref="I3">SUMPRODUCT(
    (Plan_Production!$A$2:$A$10&lt;&gt;"") *
    _xlfn.XLOOKUP(Plan_Production!$A$2:$A$10, BOM_Produits!$A$2:$A$10,
            INDEX(BOM_Produits!$B$2:$G$10, 0, MATCH($A3, BOM_Produits!$B$1:$G$1, 0)), 0) *
    INDEX(Plan_Production!$B$2:$M$10, 0, VALUE(SUBSTITUTE(I$1, "P", "")))
)</f>
        <v>3675</v>
      </c>
      <c r="J3" s="29" cm="1">
        <f t="array" ref="J3">SUMPRODUCT(
    (Plan_Production!$A$2:$A$10&lt;&gt;"") *
    _xlfn.XLOOKUP(Plan_Production!$A$2:$A$10, BOM_Produits!$A$2:$A$10,
            INDEX(BOM_Produits!$B$2:$G$10, 0, MATCH($A3, BOM_Produits!$B$1:$G$1, 0)), 0) *
    INDEX(Plan_Production!$B$2:$M$10, 0, VALUE(SUBSTITUTE(J$1, "P", "")))
)</f>
        <v>4080</v>
      </c>
      <c r="K3" s="29" cm="1">
        <f t="array" ref="K3">SUMPRODUCT(
    (Plan_Production!$A$2:$A$10&lt;&gt;"") *
    _xlfn.XLOOKUP(Plan_Production!$A$2:$A$10, BOM_Produits!$A$2:$A$10,
            INDEX(BOM_Produits!$B$2:$G$10, 0, MATCH($A3, BOM_Produits!$B$1:$G$1, 0)), 0) *
    INDEX(Plan_Production!$B$2:$M$10, 0, VALUE(SUBSTITUTE(K$1, "P", "")))
)</f>
        <v>4510</v>
      </c>
      <c r="L3" s="29" cm="1">
        <f t="array" ref="L3">SUMPRODUCT(
    (Plan_Production!$A$2:$A$10&lt;&gt;"") *
    _xlfn.XLOOKUP(Plan_Production!$A$2:$A$10, BOM_Produits!$A$2:$A$10,
            INDEX(BOM_Produits!$B$2:$G$10, 0, MATCH($A3, BOM_Produits!$B$1:$G$1, 0)), 0) *
    INDEX(Plan_Production!$B$2:$M$10, 0, VALUE(SUBSTITUTE(L$1, "P", "")))
)</f>
        <v>4295</v>
      </c>
      <c r="M3" s="29" cm="1">
        <f t="array" ref="M3">SUMPRODUCT(
    (Plan_Production!$A$2:$A$10&lt;&gt;"") *
    _xlfn.XLOOKUP(Plan_Production!$A$2:$A$10, BOM_Produits!$A$2:$A$10,
            INDEX(BOM_Produits!$B$2:$G$10, 0, MATCH($A3, BOM_Produits!$B$1:$G$1, 0)), 0) *
    INDEX(Plan_Production!$B$2:$M$10, 0, VALUE(SUBSTITUTE(M$1, "P", "")))
)</f>
        <v>3890</v>
      </c>
    </row>
    <row r="4" spans="1:13" x14ac:dyDescent="0.2">
      <c r="A4" t="str">
        <v>Résine</v>
      </c>
      <c r="B4" s="29" cm="1">
        <f t="array" ref="B4">SUMPRODUCT(
    (Plan_Production!$A$2:$A$10&lt;&gt;"") *
    _xlfn.XLOOKUP(Plan_Production!$A$2:$A$10, BOM_Produits!$A$2:$A$10,
            INDEX(BOM_Produits!$B$2:$G$10, 0, MATCH($A4, BOM_Produits!$B$1:$G$1, 0)), 0) *
    INDEX(Plan_Production!$B$2:$M$10, 0, VALUE(SUBSTITUTE(B$1, "P", "")))
)</f>
        <v>1836</v>
      </c>
      <c r="C4" s="29" cm="1">
        <f t="array" ref="C4">SUMPRODUCT(
    (Plan_Production!$A$2:$A$10&lt;&gt;"") *
    _xlfn.XLOOKUP(Plan_Production!$A$2:$A$10, BOM_Produits!$A$2:$A$10,
            INDEX(BOM_Produits!$B$2:$G$10, 0, MATCH($A4, BOM_Produits!$B$1:$G$1, 0)), 0) *
    INDEX(Plan_Production!$B$2:$M$10, 0, VALUE(SUBSTITUTE(C$1, "P", "")))
)</f>
        <v>2420</v>
      </c>
      <c r="D4" s="29" cm="1">
        <f t="array" ref="D4">SUMPRODUCT(
    (Plan_Production!$A$2:$A$10&lt;&gt;"") *
    _xlfn.XLOOKUP(Plan_Production!$A$2:$A$10, BOM_Produits!$A$2:$A$10,
            INDEX(BOM_Produits!$B$2:$G$10, 0, MATCH($A4, BOM_Produits!$B$1:$G$1, 0)), 0) *
    INDEX(Plan_Production!$B$2:$M$10, 0, VALUE(SUBSTITUTE(D$1, "P", "")))
)</f>
        <v>2135</v>
      </c>
      <c r="E4" s="29" cm="1">
        <f t="array" ref="E4">SUMPRODUCT(
    (Plan_Production!$A$2:$A$10&lt;&gt;"") *
    _xlfn.XLOOKUP(Plan_Production!$A$2:$A$10, BOM_Produits!$A$2:$A$10,
            INDEX(BOM_Produits!$B$2:$G$10, 0, MATCH($A4, BOM_Produits!$B$1:$G$1, 0)), 0) *
    INDEX(Plan_Production!$B$2:$M$10, 0, VALUE(SUBSTITUTE(E$1, "P", "")))
)</f>
        <v>2830</v>
      </c>
      <c r="F4" s="29" cm="1">
        <f t="array" ref="F4">SUMPRODUCT(
    (Plan_Production!$A$2:$A$10&lt;&gt;"") *
    _xlfn.XLOOKUP(Plan_Production!$A$2:$A$10, BOM_Produits!$A$2:$A$10,
            INDEX(BOM_Produits!$B$2:$G$10, 0, MATCH($A4, BOM_Produits!$B$1:$G$1, 0)), 0) *
    INDEX(Plan_Production!$B$2:$M$10, 0, VALUE(SUBSTITUTE(F$1, "P", "")))
)</f>
        <v>2585</v>
      </c>
      <c r="G4" s="29" cm="1">
        <f t="array" ref="G4">SUMPRODUCT(
    (Plan_Production!$A$2:$A$10&lt;&gt;"") *
    _xlfn.XLOOKUP(Plan_Production!$A$2:$A$10, BOM_Produits!$A$2:$A$10,
            INDEX(BOM_Produits!$B$2:$G$10, 0, MATCH($A4, BOM_Produits!$B$1:$G$1, 0)), 0) *
    INDEX(Plan_Production!$B$2:$M$10, 0, VALUE(SUBSTITUTE(G$1, "P", "")))
)</f>
        <v>2340</v>
      </c>
      <c r="H4" s="29" cm="1">
        <f t="array" ref="H4">SUMPRODUCT(
    (Plan_Production!$A$2:$A$10&lt;&gt;"") *
    _xlfn.XLOOKUP(Plan_Production!$A$2:$A$10, BOM_Produits!$A$2:$A$10,
            INDEX(BOM_Produits!$B$2:$G$10, 0, MATCH($A4, BOM_Produits!$B$1:$G$1, 0)), 0) *
    INDEX(Plan_Production!$B$2:$M$10, 0, VALUE(SUBSTITUTE(H$1, "P", "")))
)</f>
        <v>2165</v>
      </c>
      <c r="I4" s="29" cm="1">
        <f t="array" ref="I4">SUMPRODUCT(
    (Plan_Production!$A$2:$A$10&lt;&gt;"") *
    _xlfn.XLOOKUP(Plan_Production!$A$2:$A$10, BOM_Produits!$A$2:$A$10,
            INDEX(BOM_Produits!$B$2:$G$10, 0, MATCH($A4, BOM_Produits!$B$1:$G$1, 0)), 0) *
    INDEX(Plan_Production!$B$2:$M$10, 0, VALUE(SUBSTITUTE(I$1, "P", "")))
)</f>
        <v>2475</v>
      </c>
      <c r="J4" s="29" cm="1">
        <f t="array" ref="J4">SUMPRODUCT(
    (Plan_Production!$A$2:$A$10&lt;&gt;"") *
    _xlfn.XLOOKUP(Plan_Production!$A$2:$A$10, BOM_Produits!$A$2:$A$10,
            INDEX(BOM_Produits!$B$2:$G$10, 0, MATCH($A4, BOM_Produits!$B$1:$G$1, 0)), 0) *
    INDEX(Plan_Production!$B$2:$M$10, 0, VALUE(SUBSTITUTE(J$1, "P", "")))
)</f>
        <v>2720</v>
      </c>
      <c r="K4" s="29" cm="1">
        <f t="array" ref="K4">SUMPRODUCT(
    (Plan_Production!$A$2:$A$10&lt;&gt;"") *
    _xlfn.XLOOKUP(Plan_Production!$A$2:$A$10, BOM_Produits!$A$2:$A$10,
            INDEX(BOM_Produits!$B$2:$G$10, 0, MATCH($A4, BOM_Produits!$B$1:$G$1, 0)), 0) *
    INDEX(Plan_Production!$B$2:$M$10, 0, VALUE(SUBSTITUTE(K$1, "P", "")))
)</f>
        <v>2990</v>
      </c>
      <c r="L4" s="29" cm="1">
        <f t="array" ref="L4">SUMPRODUCT(
    (Plan_Production!$A$2:$A$10&lt;&gt;"") *
    _xlfn.XLOOKUP(Plan_Production!$A$2:$A$10, BOM_Produits!$A$2:$A$10,
            INDEX(BOM_Produits!$B$2:$G$10, 0, MATCH($A4, BOM_Produits!$B$1:$G$1, 0)), 0) *
    INDEX(Plan_Production!$B$2:$M$10, 0, VALUE(SUBSTITUTE(L$1, "P", "")))
)</f>
        <v>2855</v>
      </c>
      <c r="M4" s="29" cm="1">
        <f t="array" ref="M4">SUMPRODUCT(
    (Plan_Production!$A$2:$A$10&lt;&gt;"") *
    _xlfn.XLOOKUP(Plan_Production!$A$2:$A$10, BOM_Produits!$A$2:$A$10,
            INDEX(BOM_Produits!$B$2:$G$10, 0, MATCH($A4, BOM_Produits!$B$1:$G$1, 0)), 0) *
    INDEX(Plan_Production!$B$2:$M$10, 0, VALUE(SUBSTITUTE(M$1, "P", "")))
)</f>
        <v>2610</v>
      </c>
    </row>
    <row r="5" spans="1:13" x14ac:dyDescent="0.2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x14ac:dyDescent="0.2"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</row>
    <row r="7" spans="1:13" x14ac:dyDescent="0.2"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</row>
    <row r="8" spans="1:13" x14ac:dyDescent="0.2"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9">
    <outlinePr summaryBelow="0" summaryRight="0"/>
  </sheetPr>
  <dimension ref="A1:AB47"/>
  <sheetViews>
    <sheetView topLeftCell="E7" workbookViewId="0">
      <selection activeCell="J11" sqref="J11"/>
    </sheetView>
  </sheetViews>
  <sheetFormatPr baseColWidth="10" defaultColWidth="12.5703125" defaultRowHeight="15.75" customHeight="1" x14ac:dyDescent="0.2"/>
  <cols>
    <col min="1" max="1" width="30.28515625" customWidth="1"/>
    <col min="13" max="13" width="16" customWidth="1"/>
    <col min="14" max="14" width="15.42578125" customWidth="1"/>
    <col min="19" max="19" width="15.42578125" customWidth="1"/>
  </cols>
  <sheetData>
    <row r="1" spans="1:28" ht="15.75" customHeight="1" x14ac:dyDescent="0.2">
      <c r="AA1">
        <v>1</v>
      </c>
      <c r="AB1" t="e">
        <f>SUM(_xlfn.ANCHORARRAY(AA1))</f>
        <v>#REF!</v>
      </c>
    </row>
    <row r="2" spans="1:28" ht="15.75" customHeight="1" x14ac:dyDescent="0.2">
      <c r="AA2">
        <v>1</v>
      </c>
    </row>
    <row r="9" spans="1:28" ht="12.75" x14ac:dyDescent="0.2">
      <c r="B9" s="22">
        <v>1060</v>
      </c>
      <c r="C9" s="22">
        <v>200</v>
      </c>
    </row>
    <row r="10" spans="1:28" ht="12.75" x14ac:dyDescent="0.2">
      <c r="C10" s="22">
        <f>B9*C9</f>
        <v>212000</v>
      </c>
    </row>
    <row r="11" spans="1:28" ht="12.75" x14ac:dyDescent="0.2">
      <c r="A11" s="22" t="s">
        <v>432</v>
      </c>
      <c r="B11" s="22">
        <v>200000</v>
      </c>
      <c r="C11" s="22">
        <f>B9*250</f>
        <v>265000</v>
      </c>
    </row>
    <row r="12" spans="1:28" ht="12.75" x14ac:dyDescent="0.2">
      <c r="B12" s="22">
        <v>250000</v>
      </c>
    </row>
    <row r="13" spans="1:28" ht="12.75" x14ac:dyDescent="0.2">
      <c r="A13" s="22" t="s">
        <v>433</v>
      </c>
      <c r="B13" s="22">
        <v>6</v>
      </c>
      <c r="C13" s="22" t="s">
        <v>434</v>
      </c>
      <c r="D13" s="22">
        <v>6</v>
      </c>
      <c r="E13" s="22" t="s">
        <v>435</v>
      </c>
    </row>
    <row r="14" spans="1:28" ht="12.75" x14ac:dyDescent="0.2">
      <c r="A14" s="22" t="s">
        <v>436</v>
      </c>
      <c r="B14" s="22">
        <v>1.25</v>
      </c>
      <c r="C14" s="22" t="s">
        <v>437</v>
      </c>
      <c r="D14" s="22">
        <v>1.6259999999999999</v>
      </c>
    </row>
    <row r="15" spans="1:28" ht="12.75" x14ac:dyDescent="0.2">
      <c r="A15" s="22" t="s">
        <v>438</v>
      </c>
      <c r="B15" s="22">
        <f t="shared" ref="B15:B17" si="0">B19*$B$13+C19*$B$14</f>
        <v>101</v>
      </c>
    </row>
    <row r="16" spans="1:28" ht="12.75" x14ac:dyDescent="0.2">
      <c r="A16" s="22" t="s">
        <v>439</v>
      </c>
      <c r="B16" s="22">
        <f t="shared" si="0"/>
        <v>53.5</v>
      </c>
    </row>
    <row r="17" spans="1:28" ht="12.75" x14ac:dyDescent="0.2">
      <c r="A17" s="22" t="s">
        <v>440</v>
      </c>
      <c r="B17" s="22">
        <f t="shared" si="0"/>
        <v>36.25</v>
      </c>
    </row>
    <row r="19" spans="1:28" ht="12.75" x14ac:dyDescent="0.2">
      <c r="A19" s="22" t="s">
        <v>441</v>
      </c>
      <c r="B19" s="22">
        <v>16</v>
      </c>
      <c r="C19" s="22">
        <v>4</v>
      </c>
      <c r="AB19">
        <v>2</v>
      </c>
    </row>
    <row r="20" spans="1:28" ht="12.75" x14ac:dyDescent="0.2">
      <c r="A20" s="22" t="s">
        <v>15</v>
      </c>
      <c r="B20" s="22">
        <v>6</v>
      </c>
      <c r="C20" s="22">
        <v>14</v>
      </c>
    </row>
    <row r="21" spans="1:28" ht="12.75" x14ac:dyDescent="0.2">
      <c r="A21" s="22" t="s">
        <v>442</v>
      </c>
      <c r="B21" s="22">
        <v>5</v>
      </c>
      <c r="C21" s="22">
        <v>5</v>
      </c>
      <c r="Q21" s="22" t="s">
        <v>443</v>
      </c>
      <c r="S21" s="22" t="s">
        <v>444</v>
      </c>
      <c r="U21" s="22" t="s">
        <v>445</v>
      </c>
    </row>
    <row r="22" spans="1:28" ht="12.75" x14ac:dyDescent="0.2">
      <c r="A22" s="10" t="s">
        <v>446</v>
      </c>
      <c r="B22" s="22" t="s">
        <v>447</v>
      </c>
      <c r="C22" s="22" t="s">
        <v>448</v>
      </c>
      <c r="D22" s="10" t="s">
        <v>449</v>
      </c>
      <c r="E22" s="22" t="s">
        <v>447</v>
      </c>
      <c r="F22" s="22" t="s">
        <v>448</v>
      </c>
      <c r="G22" s="10" t="s">
        <v>450</v>
      </c>
      <c r="H22" s="22" t="s">
        <v>447</v>
      </c>
      <c r="I22" s="22" t="s">
        <v>448</v>
      </c>
      <c r="J22" s="11" t="s">
        <v>451</v>
      </c>
      <c r="K22" s="11" t="s">
        <v>452</v>
      </c>
      <c r="L22" s="12" t="s">
        <v>453</v>
      </c>
      <c r="M22" s="12" t="s">
        <v>454</v>
      </c>
      <c r="N22" s="12" t="s">
        <v>455</v>
      </c>
      <c r="O22" s="22" t="s">
        <v>456</v>
      </c>
      <c r="P22" s="22" t="s">
        <v>457</v>
      </c>
      <c r="Q22" s="22" t="s">
        <v>458</v>
      </c>
      <c r="R22" s="22" t="s">
        <v>459</v>
      </c>
      <c r="S22" s="22" t="s">
        <v>460</v>
      </c>
      <c r="T22" s="22" t="s">
        <v>461</v>
      </c>
      <c r="U22" s="22" t="s">
        <v>462</v>
      </c>
      <c r="V22" s="22" t="s">
        <v>463</v>
      </c>
    </row>
    <row r="23" spans="1:28" ht="12.75" x14ac:dyDescent="0.2">
      <c r="A23" s="22">
        <v>180</v>
      </c>
      <c r="B23" s="22">
        <f t="shared" ref="B23:B28" si="1">$A23*$B$19</f>
        <v>2880</v>
      </c>
      <c r="C23" s="22">
        <f t="shared" ref="C23:C28" si="2">$A23*$C$19</f>
        <v>720</v>
      </c>
      <c r="D23" s="22">
        <v>20</v>
      </c>
      <c r="E23" s="22">
        <f t="shared" ref="E23:E28" si="3">$D23*$B$20</f>
        <v>120</v>
      </c>
      <c r="F23" s="22">
        <f t="shared" ref="F23:F28" si="4">$D23*$C$20</f>
        <v>280</v>
      </c>
      <c r="G23" s="22">
        <v>0</v>
      </c>
      <c r="H23" s="13">
        <f t="shared" ref="H23:H28" si="5">$G23*$B$21</f>
        <v>0</v>
      </c>
      <c r="I23" s="13">
        <f t="shared" ref="I23:I28" si="6">$G23*$C$21</f>
        <v>0</v>
      </c>
      <c r="J23" s="22">
        <v>1200</v>
      </c>
      <c r="K23" s="22">
        <v>150</v>
      </c>
      <c r="L23" s="22">
        <f t="shared" ref="L23:M23" si="7">B23+E23+H23 -J23</f>
        <v>1800</v>
      </c>
      <c r="M23" s="22">
        <f t="shared" si="7"/>
        <v>850</v>
      </c>
      <c r="N23" s="22">
        <f t="shared" ref="N23:N28" si="8">(1-O23)*(L23*$B$13) + O23*(L23*$D$13) + (1-P23)*M23*$B$14 + P23*(M23*$D$14)</f>
        <v>11862.5</v>
      </c>
      <c r="O23" s="22">
        <v>0</v>
      </c>
      <c r="P23" s="22">
        <v>0</v>
      </c>
      <c r="Q23" s="22">
        <v>1900</v>
      </c>
      <c r="R23" s="22">
        <v>900</v>
      </c>
      <c r="S23" s="22">
        <f t="shared" ref="S23:T23" si="9">Q23-L23</f>
        <v>100</v>
      </c>
      <c r="T23" s="22">
        <f t="shared" si="9"/>
        <v>50</v>
      </c>
      <c r="U23" s="13">
        <v>100</v>
      </c>
      <c r="V23" s="13">
        <v>50</v>
      </c>
    </row>
    <row r="24" spans="1:28" ht="12.75" x14ac:dyDescent="0.2">
      <c r="A24" s="22">
        <v>120</v>
      </c>
      <c r="B24" s="22">
        <f t="shared" si="1"/>
        <v>1920</v>
      </c>
      <c r="C24" s="22">
        <f t="shared" si="2"/>
        <v>480</v>
      </c>
      <c r="D24" s="22">
        <v>90</v>
      </c>
      <c r="E24" s="22">
        <f t="shared" si="3"/>
        <v>540</v>
      </c>
      <c r="F24" s="22">
        <f t="shared" si="4"/>
        <v>1260</v>
      </c>
      <c r="G24" s="13">
        <v>37</v>
      </c>
      <c r="H24" s="13">
        <f t="shared" si="5"/>
        <v>185</v>
      </c>
      <c r="I24" s="13">
        <f t="shared" si="6"/>
        <v>185</v>
      </c>
      <c r="J24" s="22">
        <v>100</v>
      </c>
      <c r="K24" s="22">
        <v>50</v>
      </c>
      <c r="L24" s="22">
        <f t="shared" ref="L24:M24" si="10">B24+E24+H24 -J24</f>
        <v>2545</v>
      </c>
      <c r="M24" s="22">
        <f t="shared" si="10"/>
        <v>1875</v>
      </c>
      <c r="N24" s="22">
        <f t="shared" si="8"/>
        <v>17613.75</v>
      </c>
      <c r="O24" s="22">
        <v>0</v>
      </c>
      <c r="P24" s="22">
        <v>0</v>
      </c>
      <c r="Q24" s="22">
        <v>2800</v>
      </c>
      <c r="R24" s="22">
        <v>2900</v>
      </c>
      <c r="S24" s="22">
        <f t="shared" ref="S24:T24" si="11">Q24-L24</f>
        <v>255</v>
      </c>
      <c r="T24" s="22">
        <f t="shared" si="11"/>
        <v>1025</v>
      </c>
      <c r="U24" s="13">
        <v>255</v>
      </c>
      <c r="V24" s="14">
        <v>1025</v>
      </c>
    </row>
    <row r="25" spans="1:28" ht="12.75" x14ac:dyDescent="0.2">
      <c r="A25" s="22">
        <v>122</v>
      </c>
      <c r="B25" s="22">
        <f t="shared" si="1"/>
        <v>1952</v>
      </c>
      <c r="C25" s="22">
        <f t="shared" si="2"/>
        <v>488</v>
      </c>
      <c r="D25" s="22">
        <v>80</v>
      </c>
      <c r="E25" s="22">
        <f t="shared" si="3"/>
        <v>480</v>
      </c>
      <c r="F25" s="22">
        <f t="shared" si="4"/>
        <v>1120</v>
      </c>
      <c r="G25" s="22">
        <v>34</v>
      </c>
      <c r="H25" s="13">
        <f t="shared" si="5"/>
        <v>170</v>
      </c>
      <c r="I25" s="13">
        <f t="shared" si="6"/>
        <v>170</v>
      </c>
      <c r="J25" s="22">
        <v>255</v>
      </c>
      <c r="K25" s="22">
        <v>1025</v>
      </c>
      <c r="L25" s="22">
        <f t="shared" ref="L25:M25" si="12">B25+E25+H25 -J25</f>
        <v>2347</v>
      </c>
      <c r="M25" s="22">
        <f t="shared" si="12"/>
        <v>753</v>
      </c>
      <c r="N25" s="22">
        <f t="shared" si="8"/>
        <v>15023.25</v>
      </c>
      <c r="O25" s="22">
        <v>0</v>
      </c>
      <c r="P25" s="22">
        <v>0</v>
      </c>
      <c r="Q25" s="22">
        <v>4200</v>
      </c>
      <c r="R25" s="22">
        <v>600</v>
      </c>
      <c r="S25" s="22">
        <f t="shared" ref="S25:T25" si="13">Q25-L25</f>
        <v>1853</v>
      </c>
      <c r="T25" s="22">
        <f t="shared" si="13"/>
        <v>-153</v>
      </c>
      <c r="U25" s="13">
        <v>1853</v>
      </c>
      <c r="V25" s="13">
        <v>0</v>
      </c>
      <c r="AA25" s="22"/>
      <c r="AB25" s="22"/>
    </row>
    <row r="26" spans="1:28" ht="12.75" x14ac:dyDescent="0.2">
      <c r="A26" s="22">
        <v>103</v>
      </c>
      <c r="B26" s="22">
        <f t="shared" si="1"/>
        <v>1648</v>
      </c>
      <c r="C26" s="22">
        <f t="shared" si="2"/>
        <v>412</v>
      </c>
      <c r="D26" s="22">
        <v>104</v>
      </c>
      <c r="E26" s="22">
        <f t="shared" si="3"/>
        <v>624</v>
      </c>
      <c r="F26" s="22">
        <f t="shared" si="4"/>
        <v>1456</v>
      </c>
      <c r="G26" s="22">
        <v>58</v>
      </c>
      <c r="H26" s="13">
        <f t="shared" si="5"/>
        <v>290</v>
      </c>
      <c r="I26" s="13">
        <f t="shared" si="6"/>
        <v>290</v>
      </c>
      <c r="J26" s="22">
        <v>1853</v>
      </c>
      <c r="K26" s="22">
        <v>0</v>
      </c>
      <c r="L26" s="22">
        <f t="shared" ref="L26:M26" si="14">B26+E26+H26 -J26</f>
        <v>709</v>
      </c>
      <c r="M26" s="22">
        <f t="shared" si="14"/>
        <v>2158</v>
      </c>
      <c r="N26" s="22">
        <f t="shared" si="8"/>
        <v>6951.5</v>
      </c>
      <c r="O26" s="22">
        <v>0</v>
      </c>
      <c r="P26" s="22">
        <v>0</v>
      </c>
      <c r="Q26" s="22">
        <v>900</v>
      </c>
      <c r="R26" s="22">
        <v>2100</v>
      </c>
      <c r="S26" s="22">
        <f t="shared" ref="S26:T26" si="15">Q26-L26</f>
        <v>191</v>
      </c>
      <c r="T26" s="22">
        <f t="shared" si="15"/>
        <v>-58</v>
      </c>
      <c r="U26" s="13">
        <v>191</v>
      </c>
      <c r="V26" s="13">
        <v>0</v>
      </c>
    </row>
    <row r="27" spans="1:28" ht="12.75" x14ac:dyDescent="0.2">
      <c r="A27" s="22">
        <v>125</v>
      </c>
      <c r="B27" s="22">
        <f t="shared" si="1"/>
        <v>2000</v>
      </c>
      <c r="C27" s="22">
        <f t="shared" si="2"/>
        <v>500</v>
      </c>
      <c r="D27" s="22">
        <v>106</v>
      </c>
      <c r="E27" s="22">
        <f t="shared" si="3"/>
        <v>636</v>
      </c>
      <c r="F27" s="22">
        <f t="shared" si="4"/>
        <v>1484</v>
      </c>
      <c r="G27" s="22">
        <v>34</v>
      </c>
      <c r="H27" s="13">
        <f t="shared" si="5"/>
        <v>170</v>
      </c>
      <c r="I27" s="13">
        <f t="shared" si="6"/>
        <v>170</v>
      </c>
      <c r="J27" s="22">
        <v>191</v>
      </c>
      <c r="K27" s="22">
        <v>0</v>
      </c>
      <c r="L27" s="22">
        <f t="shared" ref="L27:M27" si="16">B27+E27+H27 -J27</f>
        <v>2615</v>
      </c>
      <c r="M27" s="22">
        <f t="shared" si="16"/>
        <v>2154</v>
      </c>
      <c r="N27" s="22">
        <f t="shared" si="8"/>
        <v>18625.4712</v>
      </c>
      <c r="O27" s="22">
        <v>0.1</v>
      </c>
      <c r="P27" s="22">
        <v>0.3</v>
      </c>
      <c r="Q27" s="22">
        <v>2700</v>
      </c>
      <c r="R27" s="22">
        <v>2500</v>
      </c>
      <c r="S27" s="22">
        <f t="shared" ref="S27:T27" si="17">Q27-L27</f>
        <v>85</v>
      </c>
      <c r="T27" s="22">
        <f t="shared" si="17"/>
        <v>346</v>
      </c>
      <c r="U27" s="13">
        <v>85</v>
      </c>
      <c r="V27" s="13">
        <v>346</v>
      </c>
    </row>
    <row r="28" spans="1:28" ht="12.75" x14ac:dyDescent="0.2">
      <c r="A28" s="22">
        <v>120</v>
      </c>
      <c r="B28" s="22">
        <f t="shared" si="1"/>
        <v>1920</v>
      </c>
      <c r="C28" s="22">
        <f t="shared" si="2"/>
        <v>480</v>
      </c>
      <c r="D28" s="22">
        <v>79</v>
      </c>
      <c r="E28" s="22">
        <f t="shared" si="3"/>
        <v>474</v>
      </c>
      <c r="F28" s="22">
        <f t="shared" si="4"/>
        <v>1106</v>
      </c>
      <c r="G28" s="22">
        <v>50</v>
      </c>
      <c r="H28" s="13">
        <f t="shared" si="5"/>
        <v>250</v>
      </c>
      <c r="I28" s="13">
        <f t="shared" si="6"/>
        <v>250</v>
      </c>
      <c r="J28" s="22">
        <v>85</v>
      </c>
      <c r="K28" s="22">
        <v>346</v>
      </c>
      <c r="L28" s="22">
        <f t="shared" ref="L28:M28" si="18">B28+E28+H28 -J28</f>
        <v>2559</v>
      </c>
      <c r="M28" s="22">
        <f t="shared" si="18"/>
        <v>1490</v>
      </c>
      <c r="N28" s="22">
        <f t="shared" si="8"/>
        <v>17384.572</v>
      </c>
      <c r="O28" s="22">
        <v>0.1</v>
      </c>
      <c r="P28" s="22">
        <v>0.3</v>
      </c>
      <c r="Q28" s="22">
        <v>2400</v>
      </c>
      <c r="R28" s="22">
        <v>1700</v>
      </c>
      <c r="S28" s="22">
        <f t="shared" ref="S28:T28" si="19">Q28-L28</f>
        <v>-159</v>
      </c>
      <c r="T28" s="22">
        <f t="shared" si="19"/>
        <v>210</v>
      </c>
      <c r="U28" s="13">
        <v>0</v>
      </c>
      <c r="V28" s="13">
        <v>210</v>
      </c>
    </row>
    <row r="29" spans="1:28" ht="12.75" x14ac:dyDescent="0.2">
      <c r="N29" s="13"/>
      <c r="O29" s="13"/>
      <c r="Q29" s="13"/>
      <c r="R29" s="13"/>
    </row>
    <row r="30" spans="1:28" ht="12.75" x14ac:dyDescent="0.2">
      <c r="N30" s="13"/>
      <c r="O30" s="13"/>
      <c r="Q30" s="13"/>
      <c r="R30" s="13"/>
    </row>
    <row r="31" spans="1:28" ht="12.75" x14ac:dyDescent="0.2">
      <c r="A31" s="22" t="str">
        <f>_xlfn.TEXTJOIN(";", FALSE, A22:V22)</f>
        <v>Production ski elite ;fibre K;resine K;Production ski 2000 ;fibre K;resine K;Production raquette;fibre K;resine K;stock fibre K;stock resine K;TOTAL Fibre;TOTAL Résine;TOTAL PRIX €;%fibre recyclé;%résine recyclé;DECISION fibre K;DECISION résine K;RESTE fibre K;RESTE résine K;REALITE fibre K;REALITE résine K</v>
      </c>
      <c r="N31" s="13"/>
      <c r="O31" s="13"/>
      <c r="Q31" s="13"/>
      <c r="R31" s="13"/>
    </row>
    <row r="32" spans="1:28" ht="12.75" x14ac:dyDescent="0.2">
      <c r="A32" s="22" t="str">
        <f>_xlfn.TEXTJOIN(";", FALSE, A28:V28)</f>
        <v>120;1920;480;79;474;1106;50;250;250;85;346;2559;1490;17384,572;0,1;0,3;2400;1700;-159;210;0;210</v>
      </c>
      <c r="N32" s="13"/>
      <c r="Q32" s="13"/>
      <c r="R32" s="13"/>
    </row>
    <row r="44" spans="1:6" ht="12.75" x14ac:dyDescent="0.2">
      <c r="A44" s="22">
        <v>16</v>
      </c>
      <c r="B44" s="22">
        <v>240</v>
      </c>
    </row>
    <row r="45" spans="1:6" ht="12.75" x14ac:dyDescent="0.2">
      <c r="A45" s="22">
        <v>20</v>
      </c>
      <c r="B45" s="22">
        <v>190</v>
      </c>
      <c r="C45" s="22">
        <v>104</v>
      </c>
      <c r="D45" s="22">
        <f t="shared" ref="D45:D46" si="20">(B45+A45)*C45</f>
        <v>21840</v>
      </c>
    </row>
    <row r="46" spans="1:6" ht="12.75" x14ac:dyDescent="0.2">
      <c r="A46" s="22">
        <v>0</v>
      </c>
      <c r="B46" s="22">
        <v>169</v>
      </c>
      <c r="C46" s="22">
        <v>58</v>
      </c>
      <c r="D46" s="22">
        <f t="shared" si="20"/>
        <v>9802</v>
      </c>
    </row>
    <row r="47" spans="1:6" ht="12.75" x14ac:dyDescent="0.2">
      <c r="D47" s="22">
        <f>SUM(D45:D46)</f>
        <v>31642</v>
      </c>
      <c r="F47" s="22">
        <f>D47-56860</f>
        <v>-25218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80A2-C7A6-4F49-A6B4-CB35440CE7A1}">
  <dimension ref="A1:M8"/>
  <sheetViews>
    <sheetView workbookViewId="0">
      <selection activeCell="D23" sqref="D23"/>
    </sheetView>
  </sheetViews>
  <sheetFormatPr baseColWidth="10" defaultRowHeight="12.75" x14ac:dyDescent="0.2"/>
  <sheetData>
    <row r="1" spans="1:13" x14ac:dyDescent="0.2">
      <c r="A1" s="28" t="s">
        <v>534</v>
      </c>
      <c r="B1" t="str" cm="1">
        <f t="array" ref="B1:M1">"P"&amp;_xlfn.SEQUENCE(1, PARAMETRES_GENERAUX!$B$2, PARAMETRES_GENERAUX!$B$3)</f>
        <v>P1</v>
      </c>
      <c r="C1" t="str">
        <v>P2</v>
      </c>
      <c r="D1" t="str">
        <v>P3</v>
      </c>
      <c r="E1" t="str">
        <v>P4</v>
      </c>
      <c r="F1" t="str">
        <v>P5</v>
      </c>
      <c r="G1" t="str">
        <v>P6</v>
      </c>
      <c r="H1" t="str">
        <v>P7</v>
      </c>
      <c r="I1" t="str">
        <v>P8</v>
      </c>
      <c r="J1" t="str">
        <v>P9</v>
      </c>
      <c r="K1" t="str">
        <v>P10</v>
      </c>
      <c r="L1" t="str">
        <v>P11</v>
      </c>
      <c r="M1" t="str">
        <v>P12</v>
      </c>
    </row>
    <row r="2" spans="1:13" x14ac:dyDescent="0.2">
      <c r="A2" s="28" t="s">
        <v>143</v>
      </c>
      <c r="B2" s="38">
        <f>SUM(B3:INDEX(B:B, COUNTA(Param_MP!$A:$A)+1))</f>
        <v>18498.300800000005</v>
      </c>
      <c r="C2" s="38">
        <f>SUM(C3:INDEX(C:C, COUNTA(Param_MP!$A:$A)+1))</f>
        <v>26166.976000000002</v>
      </c>
      <c r="D2" s="38">
        <f>SUM(D3:INDEX(D:D, COUNTA(Param_MP!$A:$A)+1))</f>
        <v>22360.328000000005</v>
      </c>
      <c r="E2" s="38">
        <f>SUM(E3:INDEX(E:E, COUNTA(Param_MP!$A:$A)+1))</f>
        <v>29690.224000000002</v>
      </c>
      <c r="F2" s="38">
        <f>SUM(F3:INDEX(F:F, COUNTA(Param_MP!$A:$A)+1))</f>
        <v>26906.088000000003</v>
      </c>
      <c r="G2" s="38">
        <f>SUM(G3:INDEX(G:G, COUNTA(Param_MP!$A:$A)+1))</f>
        <v>24121.952000000005</v>
      </c>
      <c r="H2" s="38">
        <f>SUM(H3:INDEX(H:H, COUNTA(Param_MP!$A:$A)+1))</f>
        <v>21614.712000000003</v>
      </c>
      <c r="I2" s="38">
        <f>SUM(I3:INDEX(I:I, COUNTA(Param_MP!$A:$A)+1))</f>
        <v>25606.680000000004</v>
      </c>
      <c r="J2" s="38">
        <f>SUM(J3:INDEX(J:J, COUNTA(Param_MP!$A:$A)+1))</f>
        <v>28390.816000000003</v>
      </c>
      <c r="K2" s="38">
        <f>SUM(K3:INDEX(K:K, COUNTA(Param_MP!$A:$A)+1))</f>
        <v>31360.272000000004</v>
      </c>
      <c r="L2" s="38">
        <f>SUM(L3:INDEX(L:L, COUNTA(Param_MP!$A:$A)+1))</f>
        <v>29875.544000000002</v>
      </c>
      <c r="M2" s="38">
        <f>SUM(M3:INDEX(M:M, COUNTA(Param_MP!$A:$A)+1))</f>
        <v>27091.408000000003</v>
      </c>
    </row>
    <row r="3" spans="1:13" x14ac:dyDescent="0.2">
      <c r="A3" t="str" cm="1">
        <f t="array" ref="A3:A4">_xlfn._xlws.FILTER(Param_MP!A2:A100, Param_MP!A2:A100&lt;&gt;"", "")</f>
        <v>Fibre</v>
      </c>
      <c r="B3" s="35" cm="1">
        <f t="array" ref="B3">_xlfn.LET(
    _xlpm.mp, $A3,
    _xlpm.p, VALUE(SUBSTITUTE(B$1, "P", "")),
    _xlpm.besoin, Besoins_Quantités!B3,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15996.200000000003</v>
      </c>
      <c r="C3" s="35" cm="1">
        <f t="array" ref="C3">_xlfn.LET(
    _xlpm.mp, $A3,
    _xlpm.p, VALUE(SUBSTITUTE(C$1, "P", "")),
    _xlpm.besoin, Besoins_Quantités!C3,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22869.000000000004</v>
      </c>
      <c r="D3" s="35" cm="1">
        <f t="array" ref="D3">_xlfn.LET(
    _xlpm.mp, $A3,
    _xlpm.p, VALUE(SUBSTITUTE(D$1, "P", "")),
    _xlpm.besoin, Besoins_Quantités!D3,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19450.750000000004</v>
      </c>
      <c r="E3" s="35" cm="1">
        <f t="array" ref="E3">_xlfn.LET(
    _xlpm.mp, $A3,
    _xlpm.p, VALUE(SUBSTITUTE(E$1, "P", "")),
    _xlpm.besoin, Besoins_Quantités!E3,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25833.500000000004</v>
      </c>
      <c r="F3" s="35" cm="1">
        <f t="array" ref="F3">_xlfn.LET(
    _xlpm.mp, $A3,
    _xlpm.p, VALUE(SUBSTITUTE(F$1, "P", "")),
    _xlpm.besoin, Besoins_Quantités!F3,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23383.250000000004</v>
      </c>
      <c r="G3" s="35" cm="1">
        <f t="array" ref="G3">_xlfn.LET(
    _xlpm.mp, $A3,
    _xlpm.p, VALUE(SUBSTITUTE(G$1, "P", "")),
    _xlpm.besoin, Besoins_Quantités!G3,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20933.000000000004</v>
      </c>
      <c r="H3" s="35" cm="1">
        <f t="array" ref="H3">_xlfn.LET(
    _xlpm.mp, $A3,
    _xlpm.p, VALUE(SUBSTITUTE(H$1, "P", "")),
    _xlpm.besoin, Besoins_Quantités!H3,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18664.250000000004</v>
      </c>
      <c r="I3" s="35" cm="1">
        <f t="array" ref="I3">_xlfn.LET(
    _xlpm.mp, $A3,
    _xlpm.p, VALUE(SUBSTITUTE(I$1, "P", "")),
    _xlpm.besoin, Besoins_Quantités!I3,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22233.750000000004</v>
      </c>
      <c r="J3" s="35" cm="1">
        <f t="array" ref="J3">_xlfn.LET(
    _xlpm.mp, $A3,
    _xlpm.p, VALUE(SUBSTITUTE(J$1, "P", "")),
    _xlpm.besoin, Besoins_Quantités!J3,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24684.000000000004</v>
      </c>
      <c r="K3" s="35" cm="1">
        <f t="array" ref="K3">_xlfn.LET(
    _xlpm.mp, $A3,
    _xlpm.p, VALUE(SUBSTITUTE(K$1, "P", "")),
    _xlpm.besoin, Besoins_Quantités!K3,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27285.500000000004</v>
      </c>
      <c r="L3" s="35" cm="1">
        <f t="array" ref="L3">_xlfn.LET(
    _xlpm.mp, $A3,
    _xlpm.p, VALUE(SUBSTITUTE(L$1, "P", "")),
    _xlpm.besoin, Besoins_Quantités!L3,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25984.750000000004</v>
      </c>
      <c r="M3" s="35" cm="1">
        <f t="array" ref="M3">_xlfn.LET(
    _xlpm.mp, $A3,
    _xlpm.p, VALUE(SUBSTITUTE(M$1, "P", "")),
    _xlpm.besoin, Besoins_Quantités!M3,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23534.500000000004</v>
      </c>
    </row>
    <row r="4" spans="1:13" x14ac:dyDescent="0.2">
      <c r="A4" t="str">
        <v>Résine</v>
      </c>
      <c r="B4" s="35" cm="1">
        <f t="array" ref="B4">_xlfn.LET(
    _xlpm.mp, $A4,
    _xlpm.p, VALUE(SUBSTITUTE(B$1, "P", "")),
    _xlpm.besoin, Besoins_Quantités!B4,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2502.1008000000002</v>
      </c>
      <c r="C4" s="35" cm="1">
        <f t="array" ref="C4">_xlfn.LET(
    _xlpm.mp, $A4,
    _xlpm.p, VALUE(SUBSTITUTE(C$1, "P", "")),
    _xlpm.besoin, Besoins_Quantités!C4,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3297.9760000000001</v>
      </c>
      <c r="D4" s="35" cm="1">
        <f t="array" ref="D4">_xlfn.LET(
    _xlpm.mp, $A4,
    _xlpm.p, VALUE(SUBSTITUTE(D$1, "P", "")),
    _xlpm.besoin, Besoins_Quantités!D4,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2909.578</v>
      </c>
      <c r="E4" s="35" cm="1">
        <f t="array" ref="E4">_xlfn.LET(
    _xlpm.mp, $A4,
    _xlpm.p, VALUE(SUBSTITUTE(E$1, "P", "")),
    _xlpm.besoin, Besoins_Quantités!E4,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3856.7240000000002</v>
      </c>
      <c r="F4" s="35" cm="1">
        <f t="array" ref="F4">_xlfn.LET(
    _xlpm.mp, $A4,
    _xlpm.p, VALUE(SUBSTITUTE(F$1, "P", "")),
    _xlpm.besoin, Besoins_Quantités!F4,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3522.8380000000002</v>
      </c>
      <c r="G4" s="35" cm="1">
        <f t="array" ref="G4">_xlfn.LET(
    _xlpm.mp, $A4,
    _xlpm.p, VALUE(SUBSTITUTE(G$1, "P", "")),
    _xlpm.besoin, Besoins_Quantités!G4,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3188.9520000000002</v>
      </c>
      <c r="H4" s="35" cm="1">
        <f t="array" ref="H4">_xlfn.LET(
    _xlpm.mp, $A4,
    _xlpm.p, VALUE(SUBSTITUTE(H$1, "P", "")),
    _xlpm.besoin, Besoins_Quantités!H4,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2950.462</v>
      </c>
      <c r="I4" s="35" cm="1">
        <f t="array" ref="I4">_xlfn.LET(
    _xlpm.mp, $A4,
    _xlpm.p, VALUE(SUBSTITUTE(I$1, "P", "")),
    _xlpm.besoin, Besoins_Quantités!I4,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3372.93</v>
      </c>
      <c r="J4" s="35" cm="1">
        <f t="array" ref="J4">_xlfn.LET(
    _xlpm.mp, $A4,
    _xlpm.p, VALUE(SUBSTITUTE(J$1, "P", "")),
    _xlpm.besoin, Besoins_Quantités!J4,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3706.8159999999998</v>
      </c>
      <c r="K4" s="35" cm="1">
        <f t="array" ref="K4">_xlfn.LET(
    _xlpm.mp, $A4,
    _xlpm.p, VALUE(SUBSTITUTE(K$1, "P", "")),
    _xlpm.besoin, Besoins_Quantités!K4,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4074.7719999999999</v>
      </c>
      <c r="L4" s="35" cm="1">
        <f t="array" ref="L4">_xlfn.LET(
    _xlpm.mp, $A4,
    _xlpm.p, VALUE(SUBSTITUTE(L$1, "P", "")),
    _xlpm.besoin, Besoins_Quantités!L4,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3890.7939999999999</v>
      </c>
      <c r="M4" s="35" cm="1">
        <f t="array" ref="M4">_xlfn.LET(
    _xlpm.mp, $A4,
    _xlpm.p, VALUE(SUBSTITUTE(M$1, "P", "")),
    _xlpm.besoin, Besoins_Quantités!M4,
    _xlpm.prixVirgin, INDEX(Prix_MP!$B$2:$M$5, MATCH(_xlpm.mp, Prix_MP!$A$2:$A$5, 0), _xlpm.p),
    _xlpm.prixRecycle, INDEX(Prix_MP!$B$7:$M$16, MATCH(_xlpm.mp, Prix_MP!$A$7:$A$16, 0), _xlpm.p),
    _xlpm.pctRecycle, INDEX(Mix_MP!$B$2:$M$7, MATCH(_xlpm.mp, Mix_MP!$A$2:$A$7, 0), _xlpm.p),
    _xlpm.prixMoyen, (1 - _xlpm.pctRecycle) * _xlpm.prixVirgin + _xlpm.pctRecycle * _xlpm.prixRecycle,
    _xlpm.besoin * _xlpm.prixMoyen
)</f>
        <v>3556.9079999999999</v>
      </c>
    </row>
    <row r="5" spans="1:13" x14ac:dyDescent="0.2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x14ac:dyDescent="0.2"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x14ac:dyDescent="0.2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3" x14ac:dyDescent="0.2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5726-1C46-45C7-9EED-73B6CC5B1706}">
  <dimension ref="A1:B5"/>
  <sheetViews>
    <sheetView workbookViewId="0">
      <selection activeCell="C1" sqref="C1"/>
    </sheetView>
  </sheetViews>
  <sheetFormatPr baseColWidth="10" defaultRowHeight="12.75" x14ac:dyDescent="0.2"/>
  <cols>
    <col min="1" max="1" width="28.5703125" customWidth="1"/>
    <col min="2" max="2" width="19" customWidth="1"/>
  </cols>
  <sheetData>
    <row r="1" spans="1:2" x14ac:dyDescent="0.2">
      <c r="A1" s="36" t="s">
        <v>535</v>
      </c>
      <c r="B1" s="36" t="s">
        <v>536</v>
      </c>
    </row>
    <row r="2" spans="1:2" x14ac:dyDescent="0.2">
      <c r="A2" s="37" t="s">
        <v>537</v>
      </c>
      <c r="B2" s="37">
        <v>12</v>
      </c>
    </row>
    <row r="3" spans="1:2" x14ac:dyDescent="0.2">
      <c r="A3" s="37" t="s">
        <v>538</v>
      </c>
      <c r="B3" s="37">
        <v>1</v>
      </c>
    </row>
    <row r="4" spans="1:2" x14ac:dyDescent="0.2">
      <c r="A4" s="37" t="s">
        <v>539</v>
      </c>
      <c r="B4" s="37" t="s">
        <v>540</v>
      </c>
    </row>
    <row r="5" spans="1:2" x14ac:dyDescent="0.2">
      <c r="A5" s="37" t="s">
        <v>541</v>
      </c>
      <c r="B5" s="37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DECISION</vt:lpstr>
      <vt:lpstr>RESULTAT</vt:lpstr>
      <vt:lpstr>ouvrier</vt:lpstr>
      <vt:lpstr>Ajouts</vt:lpstr>
      <vt:lpstr>Totaux_Par_Type</vt:lpstr>
      <vt:lpstr>Param_Machines</vt:lpstr>
      <vt:lpstr>Parc_Machines</vt:lpstr>
      <vt:lpstr>Capacité_Période</vt:lpstr>
      <vt:lpstr>P2</vt:lpstr>
      <vt:lpstr>P1</vt:lpstr>
      <vt:lpstr>Trésorerie P1</vt:lpstr>
      <vt:lpstr>Trésorie previsionnelle P3</vt:lpstr>
      <vt:lpstr>Trésorerie P4</vt:lpstr>
      <vt:lpstr>Trésorerie P5</vt:lpstr>
      <vt:lpstr>Trésorerie P6</vt:lpstr>
      <vt:lpstr>Trésorerie P7</vt:lpstr>
      <vt:lpstr>Param_MP</vt:lpstr>
      <vt:lpstr>Param_Produits</vt:lpstr>
      <vt:lpstr>BOM_Produits</vt:lpstr>
      <vt:lpstr>Prix_MP</vt:lpstr>
      <vt:lpstr>Mix_MP</vt:lpstr>
      <vt:lpstr>Plan_Production</vt:lpstr>
      <vt:lpstr>Besoins_Quantités</vt:lpstr>
      <vt:lpstr>calcul</vt:lpstr>
      <vt:lpstr>Besoins_Coûts</vt:lpstr>
      <vt:lpstr>PARAMETRES_GENERAUX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PCH</dc:creator>
  <cp:keywords/>
  <dc:description/>
  <cp:lastModifiedBy>hicham mohammed</cp:lastModifiedBy>
  <cp:revision/>
  <dcterms:created xsi:type="dcterms:W3CDTF">2026-03-01T11:22:57Z</dcterms:created>
  <dcterms:modified xsi:type="dcterms:W3CDTF">2026-03-05T22:56:31Z</dcterms:modified>
  <cp:category/>
  <cp:contentStatus/>
</cp:coreProperties>
</file>