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" sheetId="1" r:id="rId5"/>
    <sheet state="visible" name="RESULTAT" sheetId="2" r:id="rId6"/>
    <sheet state="visible" name="machine" sheetId="3" r:id="rId7"/>
    <sheet state="visible" name="calcul" sheetId="4" r:id="rId8"/>
    <sheet state="visible" name="P2" sheetId="5" r:id="rId9"/>
    <sheet state="visible" name="P1" sheetId="6" r:id="rId10"/>
    <sheet state="visible" name="Trésorerie P1" sheetId="7" r:id="rId11"/>
    <sheet state="visible" name="Trésorie previsionnelle P3" sheetId="8" r:id="rId12"/>
    <sheet state="visible" name="Trésorerie P4" sheetId="9" r:id="rId13"/>
    <sheet state="visible" name="Trésorerie P5" sheetId="10" r:id="rId14"/>
    <sheet state="visible" name="Trésorerie P6" sheetId="11" r:id="rId15"/>
  </sheets>
  <definedNames/>
  <calcPr/>
</workbook>
</file>

<file path=xl/sharedStrings.xml><?xml version="1.0" encoding="utf-8"?>
<sst xmlns="http://schemas.openxmlformats.org/spreadsheetml/2006/main" count="620" uniqueCount="309">
  <si>
    <t>ARIANE II : Polytech Gombert 2026 TEST / U07</t>
  </si>
  <si>
    <t>DECISIONS Firme 3</t>
  </si>
  <si>
    <t>2/16/2026 3:19:08 PM</t>
  </si>
  <si>
    <t>Périodes</t>
  </si>
  <si>
    <t>PRODUITS / ski Elite</t>
  </si>
  <si>
    <t>D032</t>
  </si>
  <si>
    <t>Prix</t>
  </si>
  <si>
    <t>200.00</t>
  </si>
  <si>
    <t>D033</t>
  </si>
  <si>
    <t>Production (KU)</t>
  </si>
  <si>
    <t>D034</t>
  </si>
  <si>
    <t>Publicité (K€)</t>
  </si>
  <si>
    <t>ski 2000</t>
  </si>
  <si>
    <t>le lancer</t>
  </si>
  <si>
    <t>D039</t>
  </si>
  <si>
    <t>0.00</t>
  </si>
  <si>
    <t>D040</t>
  </si>
  <si>
    <t>D041</t>
  </si>
  <si>
    <t>D042</t>
  </si>
  <si>
    <t>Qualité (0 … 100)</t>
  </si>
  <si>
    <t>Raquette +</t>
  </si>
  <si>
    <t>D053</t>
  </si>
  <si>
    <t>D054</t>
  </si>
  <si>
    <t>D055</t>
  </si>
  <si>
    <t>ETUDES DE MARCHE</t>
  </si>
  <si>
    <t>D024</t>
  </si>
  <si>
    <t>Etude Marché / ski (O/N)</t>
  </si>
  <si>
    <t>-N-</t>
  </si>
  <si>
    <t>D025</t>
  </si>
  <si>
    <t>Etude Marché / raquette (O/N)</t>
  </si>
  <si>
    <t>D091</t>
  </si>
  <si>
    <t>Comptabilité Analytique (O/N)</t>
  </si>
  <si>
    <t>PRODUCTION</t>
  </si>
  <si>
    <t>D013</t>
  </si>
  <si>
    <t>Recherche et Dev. (K€)</t>
  </si>
  <si>
    <t>D016</t>
  </si>
  <si>
    <t>Achat/Vente machines MX (Nb)</t>
  </si>
  <si>
    <t>D017</t>
  </si>
  <si>
    <t>Achat machines MY (Nb)</t>
  </si>
  <si>
    <t>Approvisionnement</t>
  </si>
  <si>
    <t>D084</t>
  </si>
  <si>
    <t>Pour le fournisseur (1-6)</t>
  </si>
  <si>
    <t>D051</t>
  </si>
  <si>
    <t>Delai paiement (Nb Mois)(0-2)</t>
  </si>
  <si>
    <t>D014</t>
  </si>
  <si>
    <t>Achats Mat.Prem.Fibre (KU)</t>
  </si>
  <si>
    <t>changer</t>
  </si>
  <si>
    <t>D094</t>
  </si>
  <si>
    <t>% Fibre recyclée (0-100)</t>
  </si>
  <si>
    <t>D015</t>
  </si>
  <si>
    <t>Achats Mat.Prem.Résine (KU)</t>
  </si>
  <si>
    <t>D095</t>
  </si>
  <si>
    <t>% Resine recyclée (0-100)</t>
  </si>
  <si>
    <t>D085</t>
  </si>
  <si>
    <t>D052</t>
  </si>
  <si>
    <t>D064</t>
  </si>
  <si>
    <t>D066</t>
  </si>
  <si>
    <t>D065</t>
  </si>
  <si>
    <t>D067</t>
  </si>
  <si>
    <t>RESSOURCES HUMAINES</t>
  </si>
  <si>
    <t>D018</t>
  </si>
  <si>
    <t>Embauche/Licenc.Ouvriers (Nb)</t>
  </si>
  <si>
    <t>D019</t>
  </si>
  <si>
    <t>Embauche/Licenc.Vendeurs (Nb)</t>
  </si>
  <si>
    <t>FINANCES</t>
  </si>
  <si>
    <t>D020</t>
  </si>
  <si>
    <t>Emprunt C.T.demandé (K€)</t>
  </si>
  <si>
    <t>D021</t>
  </si>
  <si>
    <t>Emprunt L.T.demandé (K€)</t>
  </si>
  <si>
    <t>D022</t>
  </si>
  <si>
    <t>Effets Escomptés (% du C.A.)</t>
  </si>
  <si>
    <t>30.00</t>
  </si>
  <si>
    <t>D028</t>
  </si>
  <si>
    <t>Dividendes distribués (K€)</t>
  </si>
  <si>
    <t>PREVISIONS</t>
  </si>
  <si>
    <t>D086</t>
  </si>
  <si>
    <t>Prévision CA HT (K€)</t>
  </si>
  <si>
    <t>D087</t>
  </si>
  <si>
    <t>Pévision Bénéfice (K€)</t>
  </si>
  <si>
    <t>D088</t>
  </si>
  <si>
    <t>Prévision Encaissem. (K€)</t>
  </si>
  <si>
    <t>D089</t>
  </si>
  <si>
    <t>Prévision Décaissem. (K€)</t>
  </si>
  <si>
    <t>RSE</t>
  </si>
  <si>
    <t>D092</t>
  </si>
  <si>
    <t>Prod. éco-responsable (k€)</t>
  </si>
  <si>
    <t>D093</t>
  </si>
  <si>
    <t>Qual. Vie au Travail (k€)</t>
  </si>
  <si>
    <t>D096</t>
  </si>
  <si>
    <t>Demande Certification (O/N)</t>
  </si>
  <si>
    <t>Contrats Manuels MP</t>
  </si>
  <si>
    <t>Appel d'Offre Ski Elite</t>
  </si>
  <si>
    <t>RESULTATS des FIRMES Firme 3</t>
  </si>
  <si>
    <t>2/16/2026 3:19:10 PM</t>
  </si>
  <si>
    <t>PRODUITS</t>
  </si>
  <si>
    <t>VENTES</t>
  </si>
  <si>
    <t>COUT DE PRODUCTION DES PRODUITS</t>
  </si>
  <si>
    <t>Consommation Matières Premièr</t>
  </si>
  <si>
    <t>Main d'oeuvre de production</t>
  </si>
  <si>
    <t>Salaires Ouvriers</t>
  </si>
  <si>
    <t>Heures Supplémentaires ouvrie</t>
  </si>
  <si>
    <t>Embauche/Licenciement</t>
  </si>
  <si>
    <t>Intérimaires</t>
  </si>
  <si>
    <t>Agents de Maîtrise</t>
  </si>
  <si>
    <t>Coûts Variables de Production</t>
  </si>
  <si>
    <t>Recherche et Développement</t>
  </si>
  <si>
    <t>Dotation aux Amortissements</t>
  </si>
  <si>
    <t>"+/- VARIATION STOCKS PRODUITS"</t>
  </si>
  <si>
    <t>MARGE BRUTE</t>
  </si>
  <si>
    <t>COUTS COMMERCIAUX</t>
  </si>
  <si>
    <t>Salaires Vendeurs + Embauche/</t>
  </si>
  <si>
    <t>Salaires Cadres</t>
  </si>
  <si>
    <t>Frais de Vente</t>
  </si>
  <si>
    <t>Publicité</t>
  </si>
  <si>
    <t>CHARGES ADMINISTRATIVES</t>
  </si>
  <si>
    <t>Salaires Administratifs</t>
  </si>
  <si>
    <t>Frais de Gestion</t>
  </si>
  <si>
    <t>Frais Financiers</t>
  </si>
  <si>
    <t>Autres Charges / Produits</t>
  </si>
  <si>
    <t>RESULTAT OPERATIONNEL</t>
  </si>
  <si>
    <t>"+/- Value sur cessions d'acti"</t>
  </si>
  <si>
    <t>Impôts</t>
  </si>
  <si>
    <t>Retour d'impôts</t>
  </si>
  <si>
    <t>RESULTAT NET AVANT AFFECTATIO</t>
  </si>
  <si>
    <t>Dividendes</t>
  </si>
  <si>
    <t>RESULTAT NET MIS EN RESERVES</t>
  </si>
  <si>
    <t>Bilan</t>
  </si>
  <si>
    <t>Machines MX</t>
  </si>
  <si>
    <t>Machines MY</t>
  </si>
  <si>
    <t>Stocks Matières Premières</t>
  </si>
  <si>
    <t>Stocks Produits Finis</t>
  </si>
  <si>
    <t>Créances clients</t>
  </si>
  <si>
    <t>Trésorerie</t>
  </si>
  <si>
    <t>TOTAL</t>
  </si>
  <si>
    <t>CAPITAUX PROPRES</t>
  </si>
  <si>
    <t>Capital Social</t>
  </si>
  <si>
    <t>Primes d'émission</t>
  </si>
  <si>
    <t>Réserves</t>
  </si>
  <si>
    <t>Résultat net de la période</t>
  </si>
  <si>
    <t>DETTES A LONG ET MOYEN TERME</t>
  </si>
  <si>
    <t>Dettes Fournisseurs M.P.</t>
  </si>
  <si>
    <t>Emprunts et Découvert</t>
  </si>
  <si>
    <t>TRESORERIE</t>
  </si>
  <si>
    <t>Créances clients T-1</t>
  </si>
  <si>
    <t>Effets Escomptés</t>
  </si>
  <si>
    <t>Emprunts</t>
  </si>
  <si>
    <t>Découvert</t>
  </si>
  <si>
    <t>Vente machines MX</t>
  </si>
  <si>
    <t>Retour Impôt</t>
  </si>
  <si>
    <t>Ventes Bons de Caisse</t>
  </si>
  <si>
    <t>Produits Financiers</t>
  </si>
  <si>
    <t>Autres encaissements</t>
  </si>
  <si>
    <t>Total Encaissements</t>
  </si>
  <si>
    <t>Fournisseurs</t>
  </si>
  <si>
    <t>Emprunts+Découvert</t>
  </si>
  <si>
    <t>Frais de Personnel</t>
  </si>
  <si>
    <t>Coûts Var. Prod.+R&amp;D+Eco</t>
  </si>
  <si>
    <t>Frais de vente + Publicité</t>
  </si>
  <si>
    <t>Achats Bons de Caisse</t>
  </si>
  <si>
    <t>Total Décaissements</t>
  </si>
  <si>
    <t>Variation de l'encaisse</t>
  </si>
  <si>
    <t>ETAT des STOCKS</t>
  </si>
  <si>
    <t>Stock Initial</t>
  </si>
  <si>
    <t>Achats</t>
  </si>
  <si>
    <t>Consommat.</t>
  </si>
  <si>
    <t>Stock Final</t>
  </si>
  <si>
    <t>MP Fibre (Valeur)</t>
  </si>
  <si>
    <t>MP Résine (Unités)</t>
  </si>
  <si>
    <t>MP Résine (Valeur)</t>
  </si>
  <si>
    <t>Ski Elite (Unités)</t>
  </si>
  <si>
    <t>Production</t>
  </si>
  <si>
    <t>Ventes</t>
  </si>
  <si>
    <t>Ski Elite (Valeurs)</t>
  </si>
  <si>
    <t>Ski 2000 (Unités)</t>
  </si>
  <si>
    <t>Ski 2000 (Valeurs)</t>
  </si>
  <si>
    <t>Racket + (Unités)</t>
  </si>
  <si>
    <t>Racket + (Valeurs)</t>
  </si>
  <si>
    <t>INFOS</t>
  </si>
  <si>
    <t>R.O.E. (Rentabilité des Fonds</t>
  </si>
  <si>
    <t>2.36</t>
  </si>
  <si>
    <t>11.30</t>
  </si>
  <si>
    <t>3.97</t>
  </si>
  <si>
    <t>0.09</t>
  </si>
  <si>
    <t>R.O.A. (Rentabilité des Resso</t>
  </si>
  <si>
    <t>1.15</t>
  </si>
  <si>
    <t>6.68</t>
  </si>
  <si>
    <t>2.77</t>
  </si>
  <si>
    <t>0.07</t>
  </si>
  <si>
    <t>E.P.S. (Résultat Net par Acti</t>
  </si>
  <si>
    <t>2.73</t>
  </si>
  <si>
    <t>13.39</t>
  </si>
  <si>
    <t>5.24</t>
  </si>
  <si>
    <t>0.12</t>
  </si>
  <si>
    <t>Fonds de Roulement</t>
  </si>
  <si>
    <t>Besoin en Fonds de Roulement</t>
  </si>
  <si>
    <t>INDICATEURS RSE</t>
  </si>
  <si>
    <t>Prod. Eco Resp. (€)</t>
  </si>
  <si>
    <t>Note Prod. Eco Resp. (0..1)</t>
  </si>
  <si>
    <t>Invest. QVT (€)</t>
  </si>
  <si>
    <t>Note QVT (0..1)</t>
  </si>
  <si>
    <t>Note MP Recyclees (0..1)</t>
  </si>
  <si>
    <t>Note Climat Social periode co</t>
  </si>
  <si>
    <t>0.50</t>
  </si>
  <si>
    <t>0.75</t>
  </si>
  <si>
    <t>0.88</t>
  </si>
  <si>
    <t>Note RSE Global (0..1)</t>
  </si>
  <si>
    <t>0.14</t>
  </si>
  <si>
    <t>Score Global Compact</t>
  </si>
  <si>
    <t>P-3</t>
  </si>
  <si>
    <t>P-2</t>
  </si>
  <si>
    <t>P-1</t>
  </si>
  <si>
    <t>P0</t>
  </si>
  <si>
    <t>P1</t>
  </si>
  <si>
    <t>P2</t>
  </si>
  <si>
    <t>P3</t>
  </si>
  <si>
    <t>P4</t>
  </si>
  <si>
    <t>P5</t>
  </si>
  <si>
    <t>P6</t>
  </si>
  <si>
    <t>capacité ancienne machine 10 périodes</t>
  </si>
  <si>
    <t>150% anciennes</t>
  </si>
  <si>
    <t>on est ici</t>
  </si>
  <si>
    <t>capacité nouvelle machine</t>
  </si>
  <si>
    <t>MY</t>
  </si>
  <si>
    <t>TOTAL MY</t>
  </si>
  <si>
    <t xml:space="preserve">ouvrié </t>
  </si>
  <si>
    <t>fibre prix unité</t>
  </si>
  <si>
    <t>fibre recyclabe</t>
  </si>
  <si>
    <t>resine prix unité</t>
  </si>
  <si>
    <t>resine recyclabe</t>
  </si>
  <si>
    <t>coût ski elite</t>
  </si>
  <si>
    <t>coũt ski 2000</t>
  </si>
  <si>
    <t>coût raquette</t>
  </si>
  <si>
    <t>ski elite</t>
  </si>
  <si>
    <t>raquette</t>
  </si>
  <si>
    <t xml:space="preserve">Production ski elite </t>
  </si>
  <si>
    <t>fibre K</t>
  </si>
  <si>
    <t>resine K</t>
  </si>
  <si>
    <t>fibre</t>
  </si>
  <si>
    <t>resine</t>
  </si>
  <si>
    <t>fibre K€</t>
  </si>
  <si>
    <t>resine K€</t>
  </si>
  <si>
    <t xml:space="preserve">Production ski 2000 </t>
  </si>
  <si>
    <t>Production raquette</t>
  </si>
  <si>
    <t>TOTAL Fibre</t>
  </si>
  <si>
    <t>TOTAL Résine</t>
  </si>
  <si>
    <t>TOTAL PRIX €</t>
  </si>
  <si>
    <t>stock</t>
  </si>
  <si>
    <t>a acheter</t>
  </si>
  <si>
    <t>prix</t>
  </si>
  <si>
    <t>ENCAISSEMENT</t>
  </si>
  <si>
    <t>DECAISSEMENT</t>
  </si>
  <si>
    <t xml:space="preserve">Paiement Matières 1ères </t>
  </si>
  <si>
    <t xml:space="preserve">Clients T-1 </t>
  </si>
  <si>
    <t>Fournisseurs Machines</t>
  </si>
  <si>
    <t>Effets escomptés</t>
  </si>
  <si>
    <t>Emprunts + Découvert</t>
  </si>
  <si>
    <t xml:space="preserve">Frais de Personnel </t>
  </si>
  <si>
    <t xml:space="preserve">Coûts Variables P° + R&amp;D </t>
  </si>
  <si>
    <t>Ventes Machines MX</t>
  </si>
  <si>
    <t>Frais de Vente + Publicité</t>
  </si>
  <si>
    <t>Retour d’Impôt</t>
  </si>
  <si>
    <t xml:space="preserve">Ventes BdC </t>
  </si>
  <si>
    <t xml:space="preserve">Frais Financiers </t>
  </si>
  <si>
    <t xml:space="preserve">Produits Financiers </t>
  </si>
  <si>
    <t>Autres Décaissements</t>
  </si>
  <si>
    <t xml:space="preserve">Autres encaissements </t>
  </si>
  <si>
    <t>Total</t>
  </si>
  <si>
    <t>Achats BdC</t>
  </si>
  <si>
    <t>Encaissements</t>
  </si>
  <si>
    <t>total</t>
  </si>
  <si>
    <t>Décaissements</t>
  </si>
  <si>
    <t>Paiement Fournisseurs</t>
  </si>
  <si>
    <t>machine</t>
  </si>
  <si>
    <t>R&amp;D</t>
  </si>
  <si>
    <t>Frais de Gestion &amp; Vente</t>
  </si>
  <si>
    <t>Études de Marché</t>
  </si>
  <si>
    <t>Impôts (de P0) &amp; Frais divers</t>
  </si>
  <si>
    <t>c'est que pour ski elite</t>
  </si>
  <si>
    <t>Trésorerie Final</t>
  </si>
  <si>
    <t>pas la meme chose</t>
  </si>
  <si>
    <t>c'est 13 275</t>
  </si>
  <si>
    <t>-&gt;</t>
  </si>
  <si>
    <t>Main d'oeuvre de production
11 894</t>
  </si>
  <si>
    <t>7 027</t>
  </si>
  <si>
    <t>Salaires Cadres
375</t>
  </si>
  <si>
    <t>Salaires Vendeurs + Embauche/Licenciement
625</t>
  </si>
  <si>
    <t>Salaires Administratifs
1 000</t>
  </si>
  <si>
    <r>
      <rPr>
        <color rgb="FF1155CC"/>
        <u/>
      </rPr>
      <t>2 020</t>
    </r>
  </si>
  <si>
    <t>2 012</t>
  </si>
  <si>
    <t>13 200</t>
  </si>
  <si>
    <t>Tresorerie nette P3</t>
  </si>
  <si>
    <t>Dettes Fournisseurs M.P. bilan</t>
  </si>
  <si>
    <t>P</t>
  </si>
  <si>
    <t>main d'oeuvre prod</t>
  </si>
  <si>
    <t>Salaires Vendeurs + Embauche/Licenciement</t>
  </si>
  <si>
    <t>ouvrier en plus</t>
  </si>
  <si>
    <t>Coûts Variables P° + R&amp;D +Eco</t>
  </si>
  <si>
    <t>meme</t>
  </si>
  <si>
    <t>Dépenses QVT</t>
  </si>
  <si>
    <t>Comptabilité analytique</t>
  </si>
  <si>
    <t>Coûts Certification</t>
  </si>
  <si>
    <t>RESULTAT AVANT IMPOT 2</t>
  </si>
  <si>
    <t>Tresorerie nette</t>
  </si>
  <si>
    <t>trésorerie</t>
  </si>
  <si>
    <t>nb de production</t>
  </si>
  <si>
    <t>Coût Variable Unitaire</t>
  </si>
  <si>
    <t>ouvrier</t>
  </si>
  <si>
    <t>1 475</t>
  </si>
  <si>
    <t>moe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</si>
</sst>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rgb="FF434343"/>
      <name val="Arial"/>
    </font>
    <font>
      <color theme="1"/>
      <name val="Arial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soft.fr/ngen/results.php?p=0" TargetMode="External"/><Relationship Id="rId2" Type="http://schemas.openxmlformats.org/officeDocument/2006/relationships/hyperlink" Target="https://www.besoft.fr/ngen/results.php?p=3" TargetMode="External"/><Relationship Id="rId3" Type="http://schemas.openxmlformats.org/officeDocument/2006/relationships/hyperlink" Target="https://www.besoft.fr/ngen/results.php?p=3" TargetMode="External"/><Relationship Id="rId4" Type="http://schemas.openxmlformats.org/officeDocument/2006/relationships/hyperlink" Target="https://www.besoft.fr/ngen/results.php?p=3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1" t="s">
        <v>1</v>
      </c>
      <c r="B2" s="2"/>
      <c r="C2" s="2"/>
      <c r="D2" s="2"/>
      <c r="E2" s="2"/>
      <c r="F2" s="2"/>
      <c r="G2" s="2"/>
    </row>
    <row r="3">
      <c r="A3" s="1" t="s">
        <v>2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2"/>
      <c r="B5" s="1" t="s">
        <v>3</v>
      </c>
      <c r="C5" s="2"/>
      <c r="D5" s="3">
        <v>-3.0</v>
      </c>
      <c r="E5" s="3">
        <v>-2.0</v>
      </c>
      <c r="F5" s="3">
        <v>-1.0</v>
      </c>
      <c r="G5" s="3">
        <v>0.0</v>
      </c>
      <c r="H5" s="4">
        <v>1.0</v>
      </c>
      <c r="I5" s="4">
        <v>2.0</v>
      </c>
      <c r="J5" s="4">
        <v>3.0</v>
      </c>
      <c r="K5" s="4">
        <v>4.0</v>
      </c>
      <c r="L5" s="4">
        <v>5.0</v>
      </c>
      <c r="M5" s="4">
        <v>6.0</v>
      </c>
    </row>
    <row r="6">
      <c r="A6" s="2"/>
      <c r="B6" s="2"/>
      <c r="C6" s="2"/>
      <c r="D6" s="2"/>
      <c r="E6" s="2"/>
      <c r="F6" s="2"/>
      <c r="G6" s="2"/>
    </row>
    <row r="7">
      <c r="A7" s="2"/>
      <c r="B7" s="1" t="s">
        <v>4</v>
      </c>
      <c r="C7" s="2"/>
      <c r="D7" s="2"/>
      <c r="E7" s="2"/>
      <c r="F7" s="2"/>
      <c r="G7" s="2"/>
    </row>
    <row r="8">
      <c r="A8" s="1" t="s">
        <v>5</v>
      </c>
      <c r="B8" s="1" t="s">
        <v>6</v>
      </c>
      <c r="C8" s="2"/>
      <c r="D8" s="1" t="s">
        <v>7</v>
      </c>
      <c r="E8" s="1" t="s">
        <v>7</v>
      </c>
      <c r="F8" s="1" t="s">
        <v>7</v>
      </c>
      <c r="G8" s="1" t="s">
        <v>7</v>
      </c>
      <c r="H8" s="5">
        <v>195.0</v>
      </c>
      <c r="I8" s="6"/>
      <c r="J8" s="6"/>
      <c r="K8" s="6"/>
      <c r="L8" s="6"/>
      <c r="M8" s="6"/>
    </row>
    <row r="9">
      <c r="A9" s="1" t="s">
        <v>8</v>
      </c>
      <c r="B9" s="1" t="s">
        <v>9</v>
      </c>
      <c r="C9" s="2"/>
      <c r="D9" s="3">
        <v>200.0</v>
      </c>
      <c r="E9" s="3">
        <v>200.0</v>
      </c>
      <c r="F9" s="3">
        <v>200.0</v>
      </c>
      <c r="G9" s="3">
        <v>200.0</v>
      </c>
      <c r="H9" s="5">
        <v>200.0</v>
      </c>
      <c r="I9" s="6"/>
      <c r="J9" s="6"/>
      <c r="K9" s="6"/>
      <c r="L9" s="6"/>
      <c r="M9" s="6"/>
    </row>
    <row r="10">
      <c r="A10" s="1" t="s">
        <v>10</v>
      </c>
      <c r="B10" s="1" t="s">
        <v>11</v>
      </c>
      <c r="C10" s="2"/>
      <c r="D10" s="3">
        <v>500.0</v>
      </c>
      <c r="E10" s="3">
        <v>1000.0</v>
      </c>
      <c r="F10" s="3">
        <v>600.0</v>
      </c>
      <c r="G10" s="3">
        <v>600.0</v>
      </c>
      <c r="H10" s="5">
        <v>800.0</v>
      </c>
      <c r="I10" s="6"/>
      <c r="J10" s="6"/>
      <c r="K10" s="6"/>
      <c r="L10" s="6"/>
      <c r="M10" s="6"/>
    </row>
    <row r="11">
      <c r="A11" s="2"/>
      <c r="B11" s="1" t="s">
        <v>12</v>
      </c>
      <c r="C11" s="2"/>
      <c r="D11" s="2"/>
      <c r="E11" s="2"/>
      <c r="F11" s="2"/>
      <c r="G11" s="2"/>
      <c r="H11" s="7"/>
      <c r="I11" s="8" t="s">
        <v>13</v>
      </c>
      <c r="J11" s="7"/>
      <c r="K11" s="7"/>
      <c r="L11" s="7"/>
      <c r="M11" s="7"/>
    </row>
    <row r="12">
      <c r="A12" s="1" t="s">
        <v>14</v>
      </c>
      <c r="B12" s="1" t="s">
        <v>6</v>
      </c>
      <c r="C12" s="2"/>
      <c r="D12" s="1" t="s">
        <v>15</v>
      </c>
      <c r="E12" s="1" t="s">
        <v>15</v>
      </c>
      <c r="F12" s="1" t="s">
        <v>15</v>
      </c>
      <c r="G12" s="1" t="s">
        <v>15</v>
      </c>
      <c r="H12" s="5">
        <v>0.0</v>
      </c>
      <c r="I12" s="6"/>
      <c r="J12" s="6"/>
      <c r="K12" s="6"/>
      <c r="L12" s="6"/>
      <c r="M12" s="6"/>
    </row>
    <row r="13">
      <c r="A13" s="1" t="s">
        <v>16</v>
      </c>
      <c r="B13" s="1" t="s">
        <v>9</v>
      </c>
      <c r="C13" s="2"/>
      <c r="D13" s="3">
        <v>0.0</v>
      </c>
      <c r="E13" s="3">
        <v>0.0</v>
      </c>
      <c r="F13" s="3">
        <v>0.0</v>
      </c>
      <c r="G13" s="3">
        <v>0.0</v>
      </c>
      <c r="H13" s="9">
        <v>0.0</v>
      </c>
      <c r="I13" s="10"/>
      <c r="J13" s="10"/>
      <c r="K13" s="10"/>
      <c r="L13" s="10"/>
      <c r="M13" s="10"/>
    </row>
    <row r="14">
      <c r="A14" s="1" t="s">
        <v>17</v>
      </c>
      <c r="B14" s="1" t="s">
        <v>11</v>
      </c>
      <c r="C14" s="2"/>
      <c r="D14" s="3">
        <v>0.0</v>
      </c>
      <c r="E14" s="3">
        <v>0.0</v>
      </c>
      <c r="F14" s="3">
        <v>0.0</v>
      </c>
      <c r="G14" s="3">
        <v>0.0</v>
      </c>
      <c r="H14" s="9">
        <v>0.0</v>
      </c>
      <c r="I14" s="10"/>
      <c r="J14" s="10"/>
      <c r="K14" s="10"/>
      <c r="L14" s="10"/>
      <c r="M14" s="10"/>
    </row>
    <row r="15">
      <c r="A15" s="1" t="s">
        <v>18</v>
      </c>
      <c r="B15" s="1" t="s">
        <v>19</v>
      </c>
      <c r="C15" s="2"/>
      <c r="D15" s="3">
        <v>0.0</v>
      </c>
      <c r="E15" s="3">
        <v>0.0</v>
      </c>
      <c r="F15" s="3">
        <v>0.0</v>
      </c>
      <c r="G15" s="3">
        <v>0.0</v>
      </c>
      <c r="H15" s="9">
        <v>0.0</v>
      </c>
      <c r="I15" s="9">
        <v>30.0</v>
      </c>
      <c r="J15" s="10"/>
      <c r="K15" s="10"/>
      <c r="L15" s="10"/>
      <c r="M15" s="10"/>
    </row>
    <row r="16">
      <c r="A16" s="2"/>
      <c r="B16" s="1" t="s">
        <v>20</v>
      </c>
      <c r="C16" s="2"/>
      <c r="D16" s="2"/>
      <c r="E16" s="2"/>
      <c r="F16" s="2"/>
      <c r="G16" s="2"/>
      <c r="H16" s="7"/>
      <c r="I16" s="7"/>
      <c r="J16" s="8" t="s">
        <v>13</v>
      </c>
      <c r="K16" s="7"/>
      <c r="L16" s="7"/>
      <c r="M16" s="7"/>
    </row>
    <row r="17">
      <c r="A17" s="1" t="s">
        <v>21</v>
      </c>
      <c r="B17" s="1" t="s">
        <v>6</v>
      </c>
      <c r="C17" s="2"/>
      <c r="D17" s="1" t="s">
        <v>15</v>
      </c>
      <c r="E17" s="1" t="s">
        <v>15</v>
      </c>
      <c r="F17" s="1" t="s">
        <v>15</v>
      </c>
      <c r="G17" s="1" t="s">
        <v>15</v>
      </c>
      <c r="H17" s="5">
        <v>0.0</v>
      </c>
      <c r="I17" s="6"/>
      <c r="J17" s="6"/>
      <c r="K17" s="6"/>
      <c r="L17" s="6"/>
      <c r="M17" s="6"/>
    </row>
    <row r="18">
      <c r="A18" s="1" t="s">
        <v>22</v>
      </c>
      <c r="B18" s="1" t="s">
        <v>9</v>
      </c>
      <c r="C18" s="2"/>
      <c r="D18" s="3">
        <v>0.0</v>
      </c>
      <c r="E18" s="3">
        <v>0.0</v>
      </c>
      <c r="F18" s="3">
        <v>0.0</v>
      </c>
      <c r="G18" s="3">
        <v>0.0</v>
      </c>
      <c r="H18" s="5">
        <v>0.0</v>
      </c>
      <c r="I18" s="6"/>
      <c r="J18" s="6"/>
      <c r="K18" s="6"/>
      <c r="L18" s="6"/>
      <c r="M18" s="6"/>
    </row>
    <row r="19">
      <c r="A19" s="1" t="s">
        <v>23</v>
      </c>
      <c r="B19" s="1" t="s">
        <v>11</v>
      </c>
      <c r="C19" s="2"/>
      <c r="D19" s="3">
        <v>0.0</v>
      </c>
      <c r="E19" s="3">
        <v>0.0</v>
      </c>
      <c r="F19" s="3">
        <v>0.0</v>
      </c>
      <c r="G19" s="3">
        <v>0.0</v>
      </c>
      <c r="H19" s="5">
        <v>0.0</v>
      </c>
      <c r="I19" s="6"/>
      <c r="J19" s="6"/>
      <c r="K19" s="6"/>
      <c r="L19" s="6"/>
      <c r="M19" s="6"/>
    </row>
    <row r="20">
      <c r="A20" s="2"/>
      <c r="B20" s="1" t="s">
        <v>24</v>
      </c>
      <c r="C20" s="2"/>
      <c r="D20" s="2"/>
      <c r="E20" s="2"/>
      <c r="F20" s="2"/>
      <c r="G20" s="2"/>
      <c r="H20" s="7"/>
      <c r="I20" s="7"/>
      <c r="J20" s="7"/>
      <c r="K20" s="7"/>
      <c r="L20" s="7"/>
      <c r="M20" s="7"/>
    </row>
    <row r="21">
      <c r="A21" s="1" t="s">
        <v>25</v>
      </c>
      <c r="B21" s="1" t="s">
        <v>26</v>
      </c>
      <c r="C21" s="2"/>
      <c r="D21" s="1" t="s">
        <v>27</v>
      </c>
      <c r="E21" s="1" t="s">
        <v>27</v>
      </c>
      <c r="F21" s="1" t="s">
        <v>27</v>
      </c>
      <c r="G21" s="1" t="s">
        <v>27</v>
      </c>
      <c r="H21" s="6"/>
      <c r="I21" s="6"/>
      <c r="J21" s="6"/>
      <c r="K21" s="6"/>
      <c r="L21" s="6"/>
      <c r="M21" s="6"/>
    </row>
    <row r="22">
      <c r="A22" s="1" t="s">
        <v>28</v>
      </c>
      <c r="B22" s="1" t="s">
        <v>29</v>
      </c>
      <c r="C22" s="2"/>
      <c r="D22" s="1" t="s">
        <v>27</v>
      </c>
      <c r="E22" s="1" t="s">
        <v>27</v>
      </c>
      <c r="F22" s="1" t="s">
        <v>27</v>
      </c>
      <c r="G22" s="1" t="s">
        <v>27</v>
      </c>
      <c r="H22" s="6"/>
      <c r="I22" s="6"/>
      <c r="J22" s="6"/>
      <c r="K22" s="6"/>
      <c r="L22" s="6"/>
      <c r="M22" s="6"/>
    </row>
    <row r="23">
      <c r="A23" s="1" t="s">
        <v>30</v>
      </c>
      <c r="B23" s="1" t="s">
        <v>31</v>
      </c>
      <c r="C23" s="2"/>
      <c r="D23" s="1" t="s">
        <v>27</v>
      </c>
      <c r="E23" s="1" t="s">
        <v>27</v>
      </c>
      <c r="F23" s="1" t="s">
        <v>27</v>
      </c>
      <c r="G23" s="1" t="s">
        <v>27</v>
      </c>
      <c r="H23" s="6"/>
      <c r="I23" s="6"/>
      <c r="J23" s="6"/>
      <c r="K23" s="6"/>
      <c r="L23" s="6"/>
      <c r="M23" s="6"/>
    </row>
    <row r="24">
      <c r="A24" s="2"/>
      <c r="B24" s="1" t="s">
        <v>32</v>
      </c>
      <c r="C24" s="2"/>
      <c r="D24" s="2"/>
      <c r="E24" s="2"/>
      <c r="F24" s="2"/>
      <c r="G24" s="2"/>
      <c r="H24" s="7"/>
      <c r="I24" s="7"/>
      <c r="J24" s="7"/>
      <c r="K24" s="7"/>
      <c r="L24" s="7"/>
      <c r="M24" s="7"/>
    </row>
    <row r="25">
      <c r="A25" s="1" t="s">
        <v>33</v>
      </c>
      <c r="B25" s="1" t="s">
        <v>34</v>
      </c>
      <c r="C25" s="2"/>
      <c r="D25" s="3">
        <v>100.0</v>
      </c>
      <c r="E25" s="3">
        <v>100.0</v>
      </c>
      <c r="F25" s="3">
        <v>100.0</v>
      </c>
      <c r="G25" s="3">
        <v>100.0</v>
      </c>
      <c r="H25" s="6"/>
      <c r="I25" s="6"/>
      <c r="J25" s="6"/>
      <c r="K25" s="6"/>
      <c r="L25" s="6"/>
      <c r="M25" s="6"/>
    </row>
    <row r="26">
      <c r="A26" s="1" t="s">
        <v>35</v>
      </c>
      <c r="B26" s="1" t="s">
        <v>36</v>
      </c>
      <c r="C26" s="2"/>
      <c r="D26" s="3">
        <v>0.0</v>
      </c>
      <c r="E26" s="3">
        <v>0.0</v>
      </c>
      <c r="F26" s="3">
        <v>0.0</v>
      </c>
      <c r="G26" s="3">
        <v>0.0</v>
      </c>
      <c r="H26" s="5">
        <v>0.0</v>
      </c>
      <c r="I26" s="6"/>
      <c r="J26" s="6"/>
      <c r="K26" s="6"/>
      <c r="L26" s="6"/>
      <c r="M26" s="6"/>
    </row>
    <row r="27">
      <c r="A27" s="1" t="s">
        <v>37</v>
      </c>
      <c r="B27" s="1" t="s">
        <v>38</v>
      </c>
      <c r="C27" s="2"/>
      <c r="D27" s="3">
        <v>0.0</v>
      </c>
      <c r="E27" s="3">
        <v>0.0</v>
      </c>
      <c r="F27" s="3">
        <v>0.0</v>
      </c>
      <c r="G27" s="3">
        <v>0.0</v>
      </c>
      <c r="H27" s="5">
        <v>0.0</v>
      </c>
      <c r="I27" s="6"/>
      <c r="J27" s="6"/>
      <c r="K27" s="6"/>
      <c r="L27" s="6"/>
      <c r="M27" s="6"/>
    </row>
    <row r="28">
      <c r="A28" s="2"/>
      <c r="B28" s="1" t="s">
        <v>39</v>
      </c>
      <c r="C28" s="2"/>
      <c r="D28" s="2"/>
      <c r="E28" s="2"/>
      <c r="F28" s="2"/>
      <c r="G28" s="2"/>
      <c r="H28" s="7"/>
      <c r="I28" s="7"/>
      <c r="J28" s="7"/>
      <c r="K28" s="7"/>
      <c r="L28" s="7"/>
      <c r="M28" s="7"/>
    </row>
    <row r="29">
      <c r="A29" s="1" t="s">
        <v>40</v>
      </c>
      <c r="B29" s="1" t="s">
        <v>41</v>
      </c>
      <c r="C29" s="2"/>
      <c r="D29" s="3">
        <v>0.0</v>
      </c>
      <c r="E29" s="3">
        <v>0.0</v>
      </c>
      <c r="F29" s="3">
        <v>0.0</v>
      </c>
      <c r="G29" s="3">
        <v>0.0</v>
      </c>
      <c r="H29" s="7"/>
      <c r="I29" s="7"/>
      <c r="J29" s="7"/>
      <c r="K29" s="7"/>
      <c r="L29" s="7"/>
      <c r="M29" s="7"/>
    </row>
    <row r="30">
      <c r="A30" s="1" t="s">
        <v>42</v>
      </c>
      <c r="B30" s="1" t="s">
        <v>43</v>
      </c>
      <c r="C30" s="2"/>
      <c r="D30" s="3">
        <v>0.0</v>
      </c>
      <c r="E30" s="3">
        <v>0.0</v>
      </c>
      <c r="F30" s="3">
        <v>0.0</v>
      </c>
      <c r="G30" s="3">
        <v>0.0</v>
      </c>
      <c r="H30" s="7"/>
      <c r="I30" s="7"/>
      <c r="J30" s="7"/>
      <c r="K30" s="7"/>
      <c r="L30" s="7"/>
      <c r="M30" s="7"/>
    </row>
    <row r="31">
      <c r="A31" s="1" t="s">
        <v>44</v>
      </c>
      <c r="B31" s="1" t="s">
        <v>45</v>
      </c>
      <c r="C31" s="2"/>
      <c r="D31" s="3">
        <v>3300.0</v>
      </c>
      <c r="E31" s="3">
        <v>3300.0</v>
      </c>
      <c r="F31" s="3">
        <v>3000.0</v>
      </c>
      <c r="G31" s="3">
        <v>3000.0</v>
      </c>
      <c r="H31" s="5" t="s">
        <v>46</v>
      </c>
      <c r="I31" s="6"/>
      <c r="J31" s="6"/>
      <c r="K31" s="6"/>
      <c r="L31" s="6"/>
      <c r="M31" s="6"/>
    </row>
    <row r="32">
      <c r="A32" s="1" t="s">
        <v>47</v>
      </c>
      <c r="B32" s="1" t="s">
        <v>48</v>
      </c>
      <c r="C32" s="2"/>
      <c r="D32" s="3">
        <v>0.0</v>
      </c>
      <c r="E32" s="3">
        <v>0.0</v>
      </c>
      <c r="F32" s="3">
        <v>0.0</v>
      </c>
      <c r="G32" s="3">
        <v>0.0</v>
      </c>
      <c r="H32" s="7"/>
      <c r="I32" s="7"/>
      <c r="J32" s="7"/>
      <c r="K32" s="7"/>
      <c r="L32" s="7"/>
      <c r="M32" s="7"/>
    </row>
    <row r="33">
      <c r="A33" s="1" t="s">
        <v>49</v>
      </c>
      <c r="B33" s="1" t="s">
        <v>50</v>
      </c>
      <c r="C33" s="2"/>
      <c r="D33" s="3">
        <v>750.0</v>
      </c>
      <c r="E33" s="3">
        <v>750.0</v>
      </c>
      <c r="F33" s="3">
        <v>600.0</v>
      </c>
      <c r="G33" s="3">
        <v>900.0</v>
      </c>
      <c r="H33" s="5" t="s">
        <v>46</v>
      </c>
      <c r="I33" s="6"/>
      <c r="J33" s="6"/>
      <c r="K33" s="6"/>
      <c r="L33" s="6"/>
      <c r="M33" s="6"/>
    </row>
    <row r="34">
      <c r="A34" s="1" t="s">
        <v>51</v>
      </c>
      <c r="B34" s="1" t="s">
        <v>52</v>
      </c>
      <c r="C34" s="2"/>
      <c r="D34" s="3">
        <v>0.0</v>
      </c>
      <c r="E34" s="3">
        <v>0.0</v>
      </c>
      <c r="F34" s="3">
        <v>0.0</v>
      </c>
      <c r="G34" s="3">
        <v>0.0</v>
      </c>
      <c r="H34" s="7"/>
      <c r="I34" s="7"/>
      <c r="J34" s="7"/>
      <c r="K34" s="7"/>
      <c r="L34" s="7"/>
      <c r="M34" s="7"/>
    </row>
    <row r="35">
      <c r="A35" s="1" t="s">
        <v>53</v>
      </c>
      <c r="B35" s="1" t="s">
        <v>41</v>
      </c>
      <c r="C35" s="2"/>
      <c r="D35" s="3">
        <v>0.0</v>
      </c>
      <c r="E35" s="3">
        <v>0.0</v>
      </c>
      <c r="F35" s="3">
        <v>0.0</v>
      </c>
      <c r="G35" s="3">
        <v>0.0</v>
      </c>
      <c r="H35" s="7"/>
      <c r="I35" s="7"/>
      <c r="J35" s="7"/>
      <c r="K35" s="7"/>
      <c r="L35" s="7"/>
      <c r="M35" s="7"/>
    </row>
    <row r="36">
      <c r="A36" s="1" t="s">
        <v>54</v>
      </c>
      <c r="B36" s="1" t="s">
        <v>43</v>
      </c>
      <c r="C36" s="2"/>
      <c r="D36" s="3">
        <v>0.0</v>
      </c>
      <c r="E36" s="3">
        <v>0.0</v>
      </c>
      <c r="F36" s="3">
        <v>0.0</v>
      </c>
      <c r="G36" s="3">
        <v>0.0</v>
      </c>
      <c r="H36" s="7"/>
      <c r="I36" s="7"/>
      <c r="J36" s="7"/>
      <c r="K36" s="7"/>
      <c r="L36" s="7"/>
      <c r="M36" s="7"/>
    </row>
    <row r="37">
      <c r="A37" s="1" t="s">
        <v>55</v>
      </c>
      <c r="B37" s="1" t="s">
        <v>45</v>
      </c>
      <c r="C37" s="2"/>
      <c r="D37" s="3">
        <v>0.0</v>
      </c>
      <c r="E37" s="3">
        <v>0.0</v>
      </c>
      <c r="F37" s="3">
        <v>0.0</v>
      </c>
      <c r="G37" s="3">
        <v>0.0</v>
      </c>
      <c r="H37" s="7"/>
      <c r="I37" s="7"/>
      <c r="J37" s="7"/>
      <c r="K37" s="7"/>
      <c r="L37" s="7"/>
      <c r="M37" s="7"/>
    </row>
    <row r="38">
      <c r="A38" s="1" t="s">
        <v>56</v>
      </c>
      <c r="B38" s="1" t="s">
        <v>48</v>
      </c>
      <c r="C38" s="2"/>
      <c r="D38" s="3">
        <v>0.0</v>
      </c>
      <c r="E38" s="3">
        <v>0.0</v>
      </c>
      <c r="F38" s="3">
        <v>0.0</v>
      </c>
      <c r="G38" s="3">
        <v>0.0</v>
      </c>
      <c r="H38" s="7"/>
      <c r="I38" s="7"/>
      <c r="J38" s="7"/>
      <c r="K38" s="7"/>
      <c r="L38" s="7"/>
      <c r="M38" s="7"/>
    </row>
    <row r="39">
      <c r="A39" s="1" t="s">
        <v>57</v>
      </c>
      <c r="B39" s="1" t="s">
        <v>50</v>
      </c>
      <c r="C39" s="2"/>
      <c r="D39" s="3">
        <v>0.0</v>
      </c>
      <c r="E39" s="3">
        <v>0.0</v>
      </c>
      <c r="F39" s="3">
        <v>0.0</v>
      </c>
      <c r="G39" s="3">
        <v>0.0</v>
      </c>
      <c r="H39" s="7"/>
      <c r="I39" s="7"/>
      <c r="J39" s="7"/>
      <c r="K39" s="7"/>
      <c r="L39" s="7"/>
      <c r="M39" s="7"/>
    </row>
    <row r="40">
      <c r="A40" s="1" t="s">
        <v>58</v>
      </c>
      <c r="B40" s="1" t="s">
        <v>52</v>
      </c>
      <c r="C40" s="2"/>
      <c r="D40" s="3">
        <v>0.0</v>
      </c>
      <c r="E40" s="3">
        <v>0.0</v>
      </c>
      <c r="F40" s="3">
        <v>0.0</v>
      </c>
      <c r="G40" s="3">
        <v>0.0</v>
      </c>
      <c r="H40" s="7"/>
      <c r="I40" s="7"/>
      <c r="J40" s="7"/>
      <c r="K40" s="7"/>
      <c r="L40" s="7"/>
      <c r="M40" s="7"/>
    </row>
    <row r="41">
      <c r="A41" s="2"/>
      <c r="B41" s="1" t="s">
        <v>59</v>
      </c>
      <c r="C41" s="2"/>
      <c r="D41" s="2"/>
      <c r="E41" s="2"/>
      <c r="F41" s="2"/>
      <c r="G41" s="2"/>
      <c r="H41" s="7"/>
      <c r="I41" s="7"/>
      <c r="J41" s="7"/>
      <c r="K41" s="7"/>
      <c r="L41" s="7"/>
      <c r="M41" s="7"/>
    </row>
    <row r="42">
      <c r="A42" s="1" t="s">
        <v>60</v>
      </c>
      <c r="B42" s="1" t="s">
        <v>61</v>
      </c>
      <c r="C42" s="2"/>
      <c r="D42" s="3">
        <v>0.0</v>
      </c>
      <c r="E42" s="3">
        <v>0.0</v>
      </c>
      <c r="F42" s="3">
        <v>0.0</v>
      </c>
      <c r="G42" s="3">
        <v>0.0</v>
      </c>
      <c r="H42" s="5">
        <v>0.0</v>
      </c>
      <c r="I42" s="6"/>
      <c r="J42" s="6"/>
      <c r="K42" s="6"/>
      <c r="L42" s="6"/>
      <c r="M42" s="6"/>
    </row>
    <row r="43">
      <c r="A43" s="1" t="s">
        <v>62</v>
      </c>
      <c r="B43" s="1" t="s">
        <v>63</v>
      </c>
      <c r="C43" s="2"/>
      <c r="D43" s="3">
        <v>0.0</v>
      </c>
      <c r="E43" s="3">
        <v>0.0</v>
      </c>
      <c r="F43" s="3">
        <v>0.0</v>
      </c>
      <c r="G43" s="3">
        <v>0.0</v>
      </c>
      <c r="H43" s="5">
        <v>0.0</v>
      </c>
      <c r="I43" s="6"/>
      <c r="J43" s="6"/>
      <c r="K43" s="6"/>
      <c r="L43" s="6"/>
      <c r="M43" s="6"/>
    </row>
    <row r="44">
      <c r="A44" s="2"/>
      <c r="B44" s="1" t="s">
        <v>64</v>
      </c>
      <c r="C44" s="2"/>
      <c r="D44" s="2"/>
      <c r="E44" s="2"/>
      <c r="F44" s="2"/>
      <c r="G44" s="2"/>
      <c r="H44" s="7"/>
      <c r="I44" s="7"/>
      <c r="J44" s="7"/>
      <c r="K44" s="7"/>
      <c r="L44" s="7"/>
      <c r="M44" s="7"/>
    </row>
    <row r="45">
      <c r="A45" s="1" t="s">
        <v>65</v>
      </c>
      <c r="B45" s="1" t="s">
        <v>66</v>
      </c>
      <c r="C45" s="2"/>
      <c r="D45" s="3">
        <v>15000.0</v>
      </c>
      <c r="E45" s="3">
        <v>0.0</v>
      </c>
      <c r="F45" s="3">
        <v>0.0</v>
      </c>
      <c r="G45" s="3">
        <v>0.0</v>
      </c>
      <c r="H45" s="5">
        <v>0.0</v>
      </c>
      <c r="I45" s="6"/>
      <c r="J45" s="6"/>
      <c r="K45" s="6"/>
      <c r="L45" s="6"/>
      <c r="M45" s="6"/>
    </row>
    <row r="46">
      <c r="A46" s="1" t="s">
        <v>67</v>
      </c>
      <c r="B46" s="1" t="s">
        <v>68</v>
      </c>
      <c r="C46" s="2"/>
      <c r="D46" s="3">
        <v>0.0</v>
      </c>
      <c r="E46" s="3">
        <v>0.0</v>
      </c>
      <c r="F46" s="3">
        <v>0.0</v>
      </c>
      <c r="G46" s="3">
        <v>0.0</v>
      </c>
      <c r="H46" s="5">
        <v>0.0</v>
      </c>
      <c r="I46" s="6"/>
      <c r="J46" s="6"/>
      <c r="K46" s="6"/>
      <c r="L46" s="6"/>
      <c r="M46" s="6"/>
    </row>
    <row r="47">
      <c r="A47" s="1" t="s">
        <v>69</v>
      </c>
      <c r="B47" s="1" t="s">
        <v>70</v>
      </c>
      <c r="C47" s="2"/>
      <c r="D47" s="1" t="s">
        <v>15</v>
      </c>
      <c r="E47" s="1" t="s">
        <v>71</v>
      </c>
      <c r="F47" s="1" t="s">
        <v>15</v>
      </c>
      <c r="G47" s="1" t="s">
        <v>15</v>
      </c>
      <c r="H47" s="5">
        <v>0.0</v>
      </c>
      <c r="I47" s="6"/>
      <c r="J47" s="6"/>
      <c r="K47" s="6"/>
      <c r="L47" s="6"/>
      <c r="M47" s="6"/>
    </row>
    <row r="48">
      <c r="A48" s="1" t="s">
        <v>72</v>
      </c>
      <c r="B48" s="1" t="s">
        <v>73</v>
      </c>
      <c r="C48" s="2"/>
      <c r="D48" s="3">
        <v>0.0</v>
      </c>
      <c r="E48" s="3">
        <v>0.0</v>
      </c>
      <c r="F48" s="3">
        <v>0.0</v>
      </c>
      <c r="G48" s="3">
        <v>0.0</v>
      </c>
      <c r="H48" s="5">
        <v>0.0</v>
      </c>
      <c r="I48" s="6"/>
      <c r="J48" s="6"/>
      <c r="K48" s="6"/>
      <c r="L48" s="6"/>
      <c r="M48" s="6"/>
    </row>
    <row r="49">
      <c r="A49" s="2"/>
      <c r="B49" s="1" t="s">
        <v>74</v>
      </c>
      <c r="C49" s="2"/>
      <c r="D49" s="2"/>
      <c r="E49" s="2"/>
      <c r="F49" s="2"/>
      <c r="G49" s="2"/>
      <c r="H49" s="7"/>
      <c r="I49" s="7"/>
      <c r="J49" s="7"/>
      <c r="K49" s="7"/>
      <c r="L49" s="7"/>
      <c r="M49" s="7"/>
    </row>
    <row r="50">
      <c r="A50" s="1" t="s">
        <v>75</v>
      </c>
      <c r="B50" s="1" t="s">
        <v>76</v>
      </c>
      <c r="C50" s="2"/>
      <c r="D50" s="3">
        <v>0.0</v>
      </c>
      <c r="E50" s="3">
        <v>0.0</v>
      </c>
      <c r="F50" s="3">
        <v>0.0</v>
      </c>
      <c r="G50" s="3">
        <v>0.0</v>
      </c>
      <c r="H50" s="6"/>
      <c r="I50" s="6"/>
      <c r="J50" s="6"/>
      <c r="K50" s="6"/>
      <c r="L50" s="6"/>
      <c r="M50" s="6"/>
    </row>
    <row r="51">
      <c r="A51" s="1" t="s">
        <v>77</v>
      </c>
      <c r="B51" s="1" t="s">
        <v>78</v>
      </c>
      <c r="C51" s="2"/>
      <c r="D51" s="3">
        <v>0.0</v>
      </c>
      <c r="E51" s="3">
        <v>0.0</v>
      </c>
      <c r="F51" s="3">
        <v>0.0</v>
      </c>
      <c r="G51" s="3">
        <v>0.0</v>
      </c>
      <c r="H51" s="6"/>
      <c r="I51" s="6"/>
      <c r="J51" s="6"/>
      <c r="K51" s="6"/>
      <c r="L51" s="6"/>
      <c r="M51" s="6"/>
    </row>
    <row r="52">
      <c r="A52" s="1" t="s">
        <v>79</v>
      </c>
      <c r="B52" s="1" t="s">
        <v>80</v>
      </c>
      <c r="C52" s="2"/>
      <c r="D52" s="3">
        <v>0.0</v>
      </c>
      <c r="E52" s="3">
        <v>0.0</v>
      </c>
      <c r="F52" s="3">
        <v>0.0</v>
      </c>
      <c r="G52" s="3">
        <v>0.0</v>
      </c>
      <c r="H52" s="6"/>
      <c r="I52" s="6"/>
      <c r="J52" s="6"/>
      <c r="K52" s="6"/>
      <c r="L52" s="6"/>
      <c r="M52" s="6"/>
    </row>
    <row r="53">
      <c r="A53" s="1" t="s">
        <v>81</v>
      </c>
      <c r="B53" s="1" t="s">
        <v>82</v>
      </c>
      <c r="C53" s="2"/>
      <c r="D53" s="3">
        <v>0.0</v>
      </c>
      <c r="E53" s="3">
        <v>0.0</v>
      </c>
      <c r="F53" s="3">
        <v>0.0</v>
      </c>
      <c r="G53" s="3">
        <v>0.0</v>
      </c>
      <c r="H53" s="6"/>
      <c r="I53" s="6"/>
      <c r="J53" s="6"/>
      <c r="K53" s="6"/>
      <c r="L53" s="6"/>
      <c r="M53" s="6"/>
    </row>
    <row r="54">
      <c r="A54" s="2"/>
      <c r="B54" s="1" t="s">
        <v>83</v>
      </c>
      <c r="C54" s="2"/>
      <c r="D54" s="2"/>
      <c r="E54" s="2"/>
      <c r="F54" s="2"/>
      <c r="G54" s="2"/>
    </row>
    <row r="55">
      <c r="A55" s="1" t="s">
        <v>84</v>
      </c>
      <c r="B55" s="1" t="s">
        <v>85</v>
      </c>
      <c r="C55" s="2"/>
      <c r="D55" s="3">
        <v>0.0</v>
      </c>
      <c r="E55" s="3">
        <v>0.0</v>
      </c>
      <c r="F55" s="3">
        <v>0.0</v>
      </c>
      <c r="G55" s="3">
        <v>0.0</v>
      </c>
    </row>
    <row r="56">
      <c r="A56" s="1" t="s">
        <v>86</v>
      </c>
      <c r="B56" s="1" t="s">
        <v>87</v>
      </c>
      <c r="C56" s="2"/>
      <c r="D56" s="3">
        <v>0.0</v>
      </c>
      <c r="E56" s="3">
        <v>0.0</v>
      </c>
      <c r="F56" s="3">
        <v>0.0</v>
      </c>
      <c r="G56" s="3">
        <v>0.0</v>
      </c>
    </row>
    <row r="57">
      <c r="A57" s="1" t="s">
        <v>88</v>
      </c>
      <c r="B57" s="1" t="s">
        <v>89</v>
      </c>
      <c r="C57" s="2"/>
      <c r="D57" s="1" t="s">
        <v>27</v>
      </c>
      <c r="E57" s="1" t="s">
        <v>27</v>
      </c>
      <c r="F57" s="1" t="s">
        <v>27</v>
      </c>
      <c r="G57" s="1" t="s">
        <v>27</v>
      </c>
    </row>
    <row r="58">
      <c r="A58" s="2"/>
      <c r="B58" s="1" t="s">
        <v>90</v>
      </c>
      <c r="C58" s="2"/>
      <c r="D58" s="2"/>
      <c r="E58" s="2"/>
      <c r="F58" s="2"/>
      <c r="G58" s="2"/>
    </row>
    <row r="59">
      <c r="A59" s="2"/>
      <c r="B59" s="1" t="s">
        <v>91</v>
      </c>
      <c r="C59" s="2"/>
      <c r="D59" s="2"/>
      <c r="E59" s="2"/>
      <c r="F59" s="2"/>
      <c r="G59" s="2"/>
    </row>
  </sheetData>
  <conditionalFormatting sqref="H8:M10 H12:M14 H15:M15 H17:M19 H21:M23 H25:M27 H31:M31 H33:M33 H42:M43 H45:M48 H50:M53">
    <cfRule type="containsBlanks" dxfId="0" priority="1">
      <formula>LEN(TRIM(H8))=0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1" t="s">
        <v>92</v>
      </c>
      <c r="B2" s="2"/>
      <c r="C2" s="2"/>
      <c r="D2" s="2"/>
      <c r="E2" s="2"/>
      <c r="F2" s="2"/>
      <c r="G2" s="2"/>
    </row>
    <row r="3">
      <c r="A3" s="1" t="s">
        <v>93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2"/>
      <c r="B5" s="1" t="s">
        <v>3</v>
      </c>
      <c r="C5" s="2"/>
      <c r="D5" s="3">
        <v>-3.0</v>
      </c>
      <c r="E5" s="3">
        <v>-2.0</v>
      </c>
      <c r="F5" s="3">
        <v>-1.0</v>
      </c>
      <c r="G5" s="3">
        <v>0.0</v>
      </c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1" t="s">
        <v>94</v>
      </c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1" t="s">
        <v>95</v>
      </c>
      <c r="C10" s="2"/>
      <c r="D10" s="3">
        <v>37500.0</v>
      </c>
      <c r="E10" s="3">
        <v>75606.0</v>
      </c>
      <c r="F10" s="3">
        <v>45486.0</v>
      </c>
      <c r="G10" s="3">
        <v>27559.0</v>
      </c>
    </row>
    <row r="11">
      <c r="A11" s="2"/>
      <c r="B11" s="1" t="s">
        <v>96</v>
      </c>
      <c r="C11" s="2"/>
      <c r="D11" s="3">
        <v>29813.0</v>
      </c>
      <c r="E11" s="3">
        <v>60853.0</v>
      </c>
      <c r="F11" s="3">
        <v>37008.0</v>
      </c>
      <c r="G11" s="3">
        <v>22460.0</v>
      </c>
    </row>
    <row r="12">
      <c r="A12" s="2"/>
      <c r="B12" s="1" t="s">
        <v>97</v>
      </c>
      <c r="C12" s="2"/>
      <c r="D12" s="3">
        <v>17000.0</v>
      </c>
      <c r="E12" s="3">
        <v>17000.0</v>
      </c>
      <c r="F12" s="3">
        <v>17000.0</v>
      </c>
      <c r="G12" s="3">
        <v>17000.0</v>
      </c>
    </row>
    <row r="13">
      <c r="A13" s="2"/>
      <c r="B13" s="1" t="s">
        <v>98</v>
      </c>
      <c r="C13" s="2"/>
      <c r="D13" s="3">
        <v>9250.0</v>
      </c>
      <c r="E13" s="3">
        <v>9250.0</v>
      </c>
      <c r="F13" s="3">
        <v>9250.0</v>
      </c>
      <c r="G13" s="3">
        <v>9250.0</v>
      </c>
    </row>
    <row r="14">
      <c r="A14" s="2"/>
      <c r="B14" s="1" t="s">
        <v>99</v>
      </c>
      <c r="C14" s="2"/>
      <c r="D14" s="3">
        <v>7500.0</v>
      </c>
      <c r="E14" s="3">
        <v>7500.0</v>
      </c>
      <c r="F14" s="3">
        <v>7500.0</v>
      </c>
      <c r="G14" s="3">
        <v>7500.0</v>
      </c>
    </row>
    <row r="15">
      <c r="A15" s="2"/>
      <c r="B15" s="1" t="s">
        <v>100</v>
      </c>
      <c r="C15" s="2"/>
      <c r="D15" s="3">
        <v>0.0</v>
      </c>
      <c r="E15" s="3">
        <v>0.0</v>
      </c>
      <c r="F15" s="3">
        <v>0.0</v>
      </c>
      <c r="G15" s="3">
        <v>0.0</v>
      </c>
    </row>
    <row r="16">
      <c r="A16" s="2"/>
      <c r="B16" s="1" t="s">
        <v>101</v>
      </c>
      <c r="C16" s="2"/>
      <c r="D16" s="3">
        <v>0.0</v>
      </c>
      <c r="E16" s="3">
        <v>0.0</v>
      </c>
      <c r="F16" s="3">
        <v>0.0</v>
      </c>
      <c r="G16" s="3">
        <v>0.0</v>
      </c>
    </row>
    <row r="17">
      <c r="A17" s="2"/>
      <c r="B17" s="1" t="s">
        <v>102</v>
      </c>
      <c r="C17" s="2"/>
      <c r="D17" s="3">
        <v>0.0</v>
      </c>
      <c r="E17" s="3">
        <v>0.0</v>
      </c>
      <c r="F17" s="3">
        <v>0.0</v>
      </c>
      <c r="G17" s="3">
        <v>0.0</v>
      </c>
    </row>
    <row r="18">
      <c r="A18" s="2"/>
      <c r="B18" s="1" t="s">
        <v>103</v>
      </c>
      <c r="C18" s="2"/>
      <c r="D18" s="3">
        <v>1750.0</v>
      </c>
      <c r="E18" s="3">
        <v>1750.0</v>
      </c>
      <c r="F18" s="3">
        <v>1750.0</v>
      </c>
      <c r="G18" s="3">
        <v>1750.0</v>
      </c>
    </row>
    <row r="19">
      <c r="A19" s="2"/>
      <c r="B19" s="1" t="s">
        <v>104</v>
      </c>
      <c r="C19" s="2"/>
      <c r="D19" s="3">
        <v>5000.0</v>
      </c>
      <c r="E19" s="3">
        <v>5000.0</v>
      </c>
      <c r="F19" s="3">
        <v>5000.0</v>
      </c>
      <c r="G19" s="3">
        <v>5000.0</v>
      </c>
    </row>
    <row r="20">
      <c r="A20" s="2"/>
      <c r="B20" s="1" t="s">
        <v>105</v>
      </c>
      <c r="C20" s="2"/>
      <c r="D20" s="3">
        <v>100.0</v>
      </c>
      <c r="E20" s="3">
        <v>100.0</v>
      </c>
      <c r="F20" s="3">
        <v>100.0</v>
      </c>
      <c r="G20" s="3">
        <v>100.0</v>
      </c>
    </row>
    <row r="21">
      <c r="A21" s="2"/>
      <c r="B21" s="1" t="s">
        <v>106</v>
      </c>
      <c r="C21" s="2"/>
      <c r="D21" s="3">
        <v>1250.0</v>
      </c>
      <c r="E21" s="3">
        <v>1250.0</v>
      </c>
      <c r="F21" s="3">
        <v>1250.0</v>
      </c>
      <c r="G21" s="3">
        <v>1250.0</v>
      </c>
    </row>
    <row r="22">
      <c r="A22" s="2"/>
      <c r="B22" s="1" t="s">
        <v>107</v>
      </c>
      <c r="C22" s="2"/>
      <c r="D22" s="3">
        <v>-2787.0</v>
      </c>
      <c r="E22" s="3">
        <v>28253.0</v>
      </c>
      <c r="F22" s="3">
        <v>4408.0</v>
      </c>
      <c r="G22" s="3">
        <v>-10140.0</v>
      </c>
    </row>
    <row r="23">
      <c r="A23" s="2"/>
      <c r="B23" s="1" t="s">
        <v>108</v>
      </c>
      <c r="C23" s="2"/>
      <c r="D23" s="3">
        <v>7687.0</v>
      </c>
      <c r="E23" s="3">
        <v>14752.0</v>
      </c>
      <c r="F23" s="3">
        <v>8478.0</v>
      </c>
      <c r="G23" s="3">
        <v>5099.0</v>
      </c>
    </row>
    <row r="24">
      <c r="A24" s="2"/>
      <c r="B24" s="1" t="s">
        <v>109</v>
      </c>
      <c r="C24" s="2"/>
      <c r="D24" s="3">
        <v>2000.0</v>
      </c>
      <c r="E24" s="3">
        <v>2500.0</v>
      </c>
      <c r="F24" s="3">
        <v>2100.0</v>
      </c>
      <c r="G24" s="3">
        <v>2100.0</v>
      </c>
    </row>
    <row r="25">
      <c r="A25" s="2"/>
      <c r="B25" s="1" t="s">
        <v>110</v>
      </c>
      <c r="C25" s="2"/>
      <c r="D25" s="3">
        <v>625.0</v>
      </c>
      <c r="E25" s="3">
        <v>625.0</v>
      </c>
      <c r="F25" s="3">
        <v>625.0</v>
      </c>
      <c r="G25" s="3">
        <v>625.0</v>
      </c>
    </row>
    <row r="26">
      <c r="A26" s="2"/>
      <c r="B26" s="1" t="s">
        <v>111</v>
      </c>
      <c r="C26" s="2"/>
      <c r="D26" s="3">
        <v>375.0</v>
      </c>
      <c r="E26" s="3">
        <v>375.0</v>
      </c>
      <c r="F26" s="3">
        <v>375.0</v>
      </c>
      <c r="G26" s="3">
        <v>375.0</v>
      </c>
    </row>
    <row r="27">
      <c r="A27" s="2"/>
      <c r="B27" s="1" t="s">
        <v>112</v>
      </c>
      <c r="C27" s="2"/>
      <c r="D27" s="3">
        <v>500.0</v>
      </c>
      <c r="E27" s="3">
        <v>500.0</v>
      </c>
      <c r="F27" s="3">
        <v>500.0</v>
      </c>
      <c r="G27" s="3">
        <v>500.0</v>
      </c>
    </row>
    <row r="28">
      <c r="A28" s="2"/>
      <c r="B28" s="1" t="s">
        <v>113</v>
      </c>
      <c r="C28" s="2"/>
      <c r="D28" s="3">
        <v>500.0</v>
      </c>
      <c r="E28" s="3">
        <v>1000.0</v>
      </c>
      <c r="F28" s="3">
        <v>600.0</v>
      </c>
      <c r="G28" s="3">
        <v>600.0</v>
      </c>
    </row>
    <row r="29">
      <c r="A29" s="2"/>
      <c r="B29" s="1" t="s">
        <v>114</v>
      </c>
      <c r="C29" s="2"/>
      <c r="D29" s="3">
        <v>3500.0</v>
      </c>
      <c r="E29" s="3">
        <v>4260.0</v>
      </c>
      <c r="F29" s="3">
        <v>3250.0</v>
      </c>
      <c r="G29" s="3">
        <v>2929.0</v>
      </c>
    </row>
    <row r="30">
      <c r="A30" s="2"/>
      <c r="B30" s="1" t="s">
        <v>115</v>
      </c>
      <c r="C30" s="2"/>
      <c r="D30" s="3">
        <v>1000.0</v>
      </c>
      <c r="E30" s="3">
        <v>1000.0</v>
      </c>
      <c r="F30" s="3">
        <v>1000.0</v>
      </c>
      <c r="G30" s="3">
        <v>1000.0</v>
      </c>
    </row>
    <row r="31">
      <c r="A31" s="2"/>
      <c r="B31" s="1" t="s">
        <v>116</v>
      </c>
      <c r="C31" s="2"/>
      <c r="D31" s="3">
        <v>2000.0</v>
      </c>
      <c r="E31" s="3">
        <v>2000.0</v>
      </c>
      <c r="F31" s="3">
        <v>2000.0</v>
      </c>
      <c r="G31" s="3">
        <v>2000.0</v>
      </c>
    </row>
    <row r="32">
      <c r="A32" s="2"/>
      <c r="B32" s="1" t="s">
        <v>117</v>
      </c>
      <c r="C32" s="2"/>
      <c r="D32" s="3">
        <v>500.0</v>
      </c>
      <c r="E32" s="3">
        <v>1260.0</v>
      </c>
      <c r="F32" s="3">
        <v>250.0</v>
      </c>
      <c r="G32" s="3">
        <v>-71.0</v>
      </c>
    </row>
    <row r="33">
      <c r="A33" s="2"/>
      <c r="B33" s="1" t="s">
        <v>118</v>
      </c>
      <c r="C33" s="2"/>
      <c r="D33" s="3">
        <v>0.0</v>
      </c>
      <c r="E33" s="3">
        <v>0.0</v>
      </c>
      <c r="F33" s="3">
        <v>0.0</v>
      </c>
      <c r="G33" s="3">
        <v>0.0</v>
      </c>
    </row>
    <row r="34">
      <c r="A34" s="2"/>
      <c r="B34" s="1" t="s">
        <v>119</v>
      </c>
      <c r="C34" s="2"/>
      <c r="D34" s="3">
        <v>2187.0</v>
      </c>
      <c r="E34" s="3">
        <v>7992.0</v>
      </c>
      <c r="F34" s="3">
        <v>3128.0</v>
      </c>
      <c r="G34" s="3">
        <v>70.0</v>
      </c>
    </row>
    <row r="35">
      <c r="A35" s="2"/>
      <c r="B35" s="1" t="s">
        <v>120</v>
      </c>
      <c r="C35" s="2"/>
      <c r="D35" s="3">
        <v>0.0</v>
      </c>
      <c r="E35" s="3">
        <v>0.0</v>
      </c>
      <c r="F35" s="3">
        <v>0.0</v>
      </c>
      <c r="G35" s="3">
        <v>0.0</v>
      </c>
    </row>
    <row r="36">
      <c r="A36" s="2"/>
      <c r="B36" s="1" t="s">
        <v>121</v>
      </c>
      <c r="C36" s="2"/>
      <c r="D36" s="3">
        <v>1094.0</v>
      </c>
      <c r="E36" s="3">
        <v>2637.0</v>
      </c>
      <c r="F36" s="3">
        <v>1032.0</v>
      </c>
      <c r="G36" s="3">
        <v>23.0</v>
      </c>
    </row>
    <row r="37">
      <c r="A37" s="2"/>
      <c r="B37" s="1" t="s">
        <v>122</v>
      </c>
      <c r="C37" s="2"/>
      <c r="D37" s="3">
        <v>0.0</v>
      </c>
      <c r="E37" s="3">
        <v>0.0</v>
      </c>
      <c r="F37" s="3">
        <v>0.0</v>
      </c>
      <c r="G37" s="3">
        <v>0.0</v>
      </c>
    </row>
    <row r="38">
      <c r="A38" s="2"/>
      <c r="B38" s="1" t="s">
        <v>123</v>
      </c>
      <c r="C38" s="2"/>
      <c r="D38" s="3">
        <v>1094.0</v>
      </c>
      <c r="E38" s="3">
        <v>5355.0</v>
      </c>
      <c r="F38" s="3">
        <v>2096.0</v>
      </c>
      <c r="G38" s="3">
        <v>47.0</v>
      </c>
    </row>
    <row r="39">
      <c r="A39" s="2"/>
      <c r="B39" s="1" t="s">
        <v>124</v>
      </c>
      <c r="C39" s="2"/>
      <c r="D39" s="3">
        <v>0.0</v>
      </c>
      <c r="E39" s="3">
        <v>0.0</v>
      </c>
      <c r="F39" s="3">
        <v>0.0</v>
      </c>
      <c r="G39" s="3">
        <v>0.0</v>
      </c>
    </row>
    <row r="40">
      <c r="A40" s="2"/>
      <c r="B40" s="1" t="s">
        <v>125</v>
      </c>
      <c r="C40" s="2"/>
      <c r="D40" s="3">
        <v>1094.0</v>
      </c>
      <c r="E40" s="3">
        <v>5355.0</v>
      </c>
      <c r="F40" s="3">
        <v>2096.0</v>
      </c>
      <c r="G40" s="3">
        <v>47.0</v>
      </c>
    </row>
    <row r="41">
      <c r="A41" s="2"/>
      <c r="B41" s="2"/>
      <c r="C41" s="2"/>
      <c r="D41" s="2"/>
      <c r="E41" s="2"/>
      <c r="F41" s="2"/>
      <c r="G41" s="2"/>
    </row>
    <row r="42">
      <c r="A42" s="2"/>
      <c r="B42" s="1" t="s">
        <v>126</v>
      </c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1" t="s">
        <v>127</v>
      </c>
      <c r="C44" s="2"/>
      <c r="D44" s="3">
        <v>15000.0</v>
      </c>
      <c r="E44" s="3">
        <v>13750.0</v>
      </c>
      <c r="F44" s="3">
        <v>12500.0</v>
      </c>
      <c r="G44" s="3">
        <v>11250.0</v>
      </c>
    </row>
    <row r="45">
      <c r="A45" s="2"/>
      <c r="B45" s="1" t="s">
        <v>128</v>
      </c>
      <c r="C45" s="2"/>
      <c r="D45" s="3">
        <v>0.0</v>
      </c>
      <c r="E45" s="3">
        <v>0.0</v>
      </c>
      <c r="F45" s="3">
        <v>0.0</v>
      </c>
      <c r="G45" s="3">
        <v>0.0</v>
      </c>
    </row>
    <row r="46">
      <c r="A46" s="2"/>
      <c r="B46" s="1" t="s">
        <v>129</v>
      </c>
      <c r="C46" s="2"/>
      <c r="D46" s="3">
        <v>7875.0</v>
      </c>
      <c r="E46" s="3">
        <v>8313.0</v>
      </c>
      <c r="F46" s="3">
        <v>7063.0</v>
      </c>
      <c r="G46" s="3">
        <v>6188.0</v>
      </c>
    </row>
    <row r="47">
      <c r="A47" s="2"/>
      <c r="B47" s="1" t="s">
        <v>130</v>
      </c>
      <c r="C47" s="2"/>
      <c r="D47" s="3">
        <v>33400.0</v>
      </c>
      <c r="E47" s="3">
        <v>5147.0</v>
      </c>
      <c r="F47" s="3">
        <v>739.0</v>
      </c>
      <c r="G47" s="3">
        <v>10879.0</v>
      </c>
    </row>
    <row r="48">
      <c r="A48" s="2"/>
      <c r="B48" s="1" t="s">
        <v>131</v>
      </c>
      <c r="C48" s="2"/>
      <c r="D48" s="3">
        <v>37500.0</v>
      </c>
      <c r="E48" s="3">
        <v>52924.0</v>
      </c>
      <c r="F48" s="3">
        <v>45486.0</v>
      </c>
      <c r="G48" s="3">
        <v>27559.0</v>
      </c>
    </row>
    <row r="49">
      <c r="A49" s="2"/>
      <c r="B49" s="1" t="s">
        <v>132</v>
      </c>
      <c r="C49" s="2"/>
      <c r="D49" s="3">
        <v>1050.0</v>
      </c>
      <c r="E49" s="3">
        <v>46.0</v>
      </c>
      <c r="F49" s="3">
        <v>9800.0</v>
      </c>
      <c r="G49" s="3">
        <v>15134.0</v>
      </c>
    </row>
    <row r="50">
      <c r="A50" s="2"/>
      <c r="B50" s="1" t="s">
        <v>133</v>
      </c>
      <c r="C50" s="2"/>
      <c r="D50" s="3">
        <v>94825.0</v>
      </c>
      <c r="E50" s="3">
        <v>80180.0</v>
      </c>
      <c r="F50" s="3">
        <v>75588.0</v>
      </c>
      <c r="G50" s="3">
        <v>71010.0</v>
      </c>
    </row>
    <row r="51">
      <c r="A51" s="2"/>
      <c r="B51" s="1" t="s">
        <v>134</v>
      </c>
      <c r="C51" s="2"/>
      <c r="D51" s="3">
        <v>47387.0</v>
      </c>
      <c r="E51" s="3">
        <v>52742.0</v>
      </c>
      <c r="F51" s="3">
        <v>54838.0</v>
      </c>
      <c r="G51" s="3">
        <v>54885.0</v>
      </c>
    </row>
    <row r="52">
      <c r="A52" s="2"/>
      <c r="B52" s="1" t="s">
        <v>135</v>
      </c>
      <c r="C52" s="2"/>
      <c r="D52" s="3">
        <v>40000.0</v>
      </c>
      <c r="E52" s="3">
        <v>40000.0</v>
      </c>
      <c r="F52" s="3">
        <v>40000.0</v>
      </c>
      <c r="G52" s="3">
        <v>40000.0</v>
      </c>
    </row>
    <row r="53">
      <c r="A53" s="2"/>
      <c r="B53" s="1" t="s">
        <v>136</v>
      </c>
      <c r="C53" s="2"/>
      <c r="D53" s="3">
        <v>0.0</v>
      </c>
      <c r="E53" s="3">
        <v>0.0</v>
      </c>
      <c r="F53" s="3">
        <v>0.0</v>
      </c>
      <c r="G53" s="3">
        <v>0.0</v>
      </c>
    </row>
    <row r="54">
      <c r="A54" s="2"/>
      <c r="B54" s="1" t="s">
        <v>137</v>
      </c>
      <c r="C54" s="2"/>
      <c r="D54" s="3">
        <v>6294.0</v>
      </c>
      <c r="E54" s="3">
        <v>7387.0</v>
      </c>
      <c r="F54" s="3">
        <v>12742.0</v>
      </c>
      <c r="G54" s="3">
        <v>14838.0</v>
      </c>
    </row>
    <row r="55">
      <c r="A55" s="2"/>
      <c r="B55" s="1" t="s">
        <v>138</v>
      </c>
      <c r="C55" s="2"/>
      <c r="D55" s="3">
        <v>1094.0</v>
      </c>
      <c r="E55" s="3">
        <v>5355.0</v>
      </c>
      <c r="F55" s="3">
        <v>2096.0</v>
      </c>
      <c r="G55" s="3">
        <v>47.0</v>
      </c>
    </row>
    <row r="56">
      <c r="A56" s="2"/>
      <c r="B56" s="1" t="s">
        <v>139</v>
      </c>
      <c r="C56" s="2"/>
      <c r="D56" s="3">
        <v>15000.0</v>
      </c>
      <c r="E56" s="3">
        <v>10000.0</v>
      </c>
      <c r="F56" s="3">
        <v>5000.0</v>
      </c>
      <c r="G56" s="3">
        <v>0.0</v>
      </c>
    </row>
    <row r="57">
      <c r="A57" s="2"/>
      <c r="B57" s="1" t="s">
        <v>140</v>
      </c>
      <c r="C57" s="2"/>
      <c r="D57" s="3">
        <v>17438.0</v>
      </c>
      <c r="E57" s="3">
        <v>17438.0</v>
      </c>
      <c r="F57" s="3">
        <v>15750.0</v>
      </c>
      <c r="G57" s="3">
        <v>16125.0</v>
      </c>
    </row>
    <row r="58">
      <c r="A58" s="2"/>
      <c r="B58" s="1" t="s">
        <v>141</v>
      </c>
      <c r="C58" s="2"/>
      <c r="D58" s="3">
        <v>15000.0</v>
      </c>
      <c r="E58" s="3">
        <v>0.0</v>
      </c>
      <c r="F58" s="3">
        <v>0.0</v>
      </c>
      <c r="G58" s="3">
        <v>0.0</v>
      </c>
    </row>
    <row r="59">
      <c r="A59" s="2"/>
      <c r="B59" s="2"/>
      <c r="C59" s="2"/>
      <c r="D59" s="2"/>
      <c r="E59" s="2"/>
      <c r="F59" s="2"/>
      <c r="G59" s="2"/>
    </row>
    <row r="60">
      <c r="A60" s="2"/>
      <c r="B60" s="1" t="s">
        <v>142</v>
      </c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1" t="s">
        <v>143</v>
      </c>
      <c r="C62" s="2"/>
      <c r="D62" s="3">
        <v>29275.0</v>
      </c>
      <c r="E62" s="3">
        <v>37500.0</v>
      </c>
      <c r="F62" s="3">
        <v>52924.0</v>
      </c>
      <c r="G62" s="3">
        <v>45486.0</v>
      </c>
    </row>
    <row r="63">
      <c r="A63" s="2"/>
      <c r="B63" s="1" t="s">
        <v>144</v>
      </c>
      <c r="C63" s="2"/>
      <c r="D63" s="3">
        <v>0.0</v>
      </c>
      <c r="E63" s="3">
        <v>22682.0</v>
      </c>
      <c r="F63" s="3">
        <v>0.0</v>
      </c>
      <c r="G63" s="3">
        <v>0.0</v>
      </c>
    </row>
    <row r="64">
      <c r="A64" s="2"/>
      <c r="B64" s="1" t="s">
        <v>145</v>
      </c>
      <c r="C64" s="2"/>
      <c r="D64" s="3">
        <v>15000.0</v>
      </c>
      <c r="E64" s="3">
        <v>0.0</v>
      </c>
      <c r="F64" s="3">
        <v>0.0</v>
      </c>
      <c r="G64" s="3">
        <v>0.0</v>
      </c>
    </row>
    <row r="65">
      <c r="A65" s="2"/>
      <c r="B65" s="1" t="s">
        <v>146</v>
      </c>
      <c r="C65" s="2"/>
      <c r="D65" s="3">
        <v>0.0</v>
      </c>
      <c r="E65" s="3">
        <v>0.0</v>
      </c>
      <c r="F65" s="3">
        <v>0.0</v>
      </c>
      <c r="G65" s="3">
        <v>0.0</v>
      </c>
    </row>
    <row r="66">
      <c r="A66" s="2"/>
      <c r="B66" s="1" t="s">
        <v>147</v>
      </c>
      <c r="C66" s="2"/>
      <c r="D66" s="3">
        <v>0.0</v>
      </c>
      <c r="E66" s="3">
        <v>0.0</v>
      </c>
      <c r="F66" s="3">
        <v>0.0</v>
      </c>
      <c r="G66" s="3">
        <v>0.0</v>
      </c>
    </row>
    <row r="67">
      <c r="A67" s="2"/>
      <c r="B67" s="1" t="s">
        <v>148</v>
      </c>
      <c r="C67" s="2"/>
      <c r="D67" s="3">
        <v>0.0</v>
      </c>
      <c r="E67" s="3">
        <v>0.0</v>
      </c>
      <c r="F67" s="3">
        <v>0.0</v>
      </c>
      <c r="G67" s="3">
        <v>0.0</v>
      </c>
    </row>
    <row r="68">
      <c r="A68" s="2"/>
      <c r="B68" s="1" t="s">
        <v>149</v>
      </c>
      <c r="C68" s="2"/>
      <c r="D68" s="3">
        <v>0.0</v>
      </c>
      <c r="E68" s="3">
        <v>0.0</v>
      </c>
      <c r="F68" s="3">
        <v>0.0</v>
      </c>
      <c r="G68" s="3">
        <v>9800.0</v>
      </c>
    </row>
    <row r="69">
      <c r="A69" s="2"/>
      <c r="B69" s="1" t="s">
        <v>150</v>
      </c>
      <c r="C69" s="2"/>
      <c r="D69" s="3">
        <v>0.0</v>
      </c>
      <c r="E69" s="3">
        <v>0.0</v>
      </c>
      <c r="F69" s="3">
        <v>0.0</v>
      </c>
      <c r="G69" s="3">
        <v>196.0</v>
      </c>
    </row>
    <row r="70">
      <c r="A70" s="2"/>
      <c r="B70" s="1" t="s">
        <v>151</v>
      </c>
      <c r="C70" s="2"/>
      <c r="D70" s="3">
        <v>0.0</v>
      </c>
      <c r="E70" s="3">
        <v>0.0</v>
      </c>
      <c r="F70" s="3">
        <v>0.0</v>
      </c>
      <c r="G70" s="3">
        <v>0.0</v>
      </c>
    </row>
    <row r="71">
      <c r="A71" s="2"/>
      <c r="B71" s="1" t="s">
        <v>152</v>
      </c>
      <c r="C71" s="2"/>
      <c r="D71" s="3">
        <v>44275.0</v>
      </c>
      <c r="E71" s="3">
        <v>60182.0</v>
      </c>
      <c r="F71" s="3">
        <v>52924.0</v>
      </c>
      <c r="G71" s="3">
        <v>55482.0</v>
      </c>
    </row>
    <row r="72">
      <c r="A72" s="2"/>
      <c r="B72" s="1" t="s">
        <v>153</v>
      </c>
      <c r="C72" s="2"/>
      <c r="D72" s="3">
        <v>17438.0</v>
      </c>
      <c r="E72" s="3">
        <v>17438.0</v>
      </c>
      <c r="F72" s="3">
        <v>17438.0</v>
      </c>
      <c r="G72" s="3">
        <v>15750.0</v>
      </c>
    </row>
    <row r="73">
      <c r="A73" s="2"/>
      <c r="B73" s="1" t="s">
        <v>154</v>
      </c>
      <c r="C73" s="2"/>
      <c r="D73" s="3">
        <v>5000.0</v>
      </c>
      <c r="E73" s="3">
        <v>20000.0</v>
      </c>
      <c r="F73" s="3">
        <v>5000.0</v>
      </c>
      <c r="G73" s="3">
        <v>5000.0</v>
      </c>
    </row>
    <row r="74">
      <c r="A74" s="2"/>
      <c r="B74" s="1" t="s">
        <v>155</v>
      </c>
      <c r="C74" s="2"/>
      <c r="D74" s="3">
        <v>11250.0</v>
      </c>
      <c r="E74" s="3">
        <v>11250.0</v>
      </c>
      <c r="F74" s="3">
        <v>11250.0</v>
      </c>
      <c r="G74" s="3">
        <v>11250.0</v>
      </c>
    </row>
    <row r="75">
      <c r="A75" s="2"/>
      <c r="B75" s="1" t="s">
        <v>156</v>
      </c>
      <c r="C75" s="2"/>
      <c r="D75" s="3">
        <v>5100.0</v>
      </c>
      <c r="E75" s="3">
        <v>5100.0</v>
      </c>
      <c r="F75" s="3">
        <v>5100.0</v>
      </c>
      <c r="G75" s="3">
        <v>5100.0</v>
      </c>
    </row>
    <row r="76">
      <c r="A76" s="2"/>
      <c r="B76" s="1" t="s">
        <v>157</v>
      </c>
      <c r="C76" s="2"/>
      <c r="D76" s="3">
        <v>1000.0</v>
      </c>
      <c r="E76" s="3">
        <v>1500.0</v>
      </c>
      <c r="F76" s="3">
        <v>1100.0</v>
      </c>
      <c r="G76" s="3">
        <v>1100.0</v>
      </c>
    </row>
    <row r="77">
      <c r="A77" s="2"/>
      <c r="B77" s="1" t="s">
        <v>116</v>
      </c>
      <c r="C77" s="2"/>
      <c r="D77" s="3">
        <v>2000.0</v>
      </c>
      <c r="E77" s="3">
        <v>2000.0</v>
      </c>
      <c r="F77" s="3">
        <v>2000.0</v>
      </c>
      <c r="G77" s="3">
        <v>2000.0</v>
      </c>
    </row>
    <row r="78">
      <c r="A78" s="2"/>
      <c r="B78" s="1" t="s">
        <v>117</v>
      </c>
      <c r="C78" s="2"/>
      <c r="D78" s="3">
        <v>500.0</v>
      </c>
      <c r="E78" s="3">
        <v>1260.0</v>
      </c>
      <c r="F78" s="3">
        <v>250.0</v>
      </c>
      <c r="G78" s="3">
        <v>125.0</v>
      </c>
    </row>
    <row r="79">
      <c r="A79" s="2"/>
      <c r="B79" s="1" t="s">
        <v>118</v>
      </c>
      <c r="C79" s="2"/>
      <c r="D79" s="3">
        <v>0.0</v>
      </c>
      <c r="E79" s="3">
        <v>0.0</v>
      </c>
      <c r="F79" s="3">
        <v>0.0</v>
      </c>
      <c r="G79" s="3">
        <v>0.0</v>
      </c>
    </row>
    <row r="80">
      <c r="A80" s="2"/>
      <c r="B80" s="1" t="s">
        <v>121</v>
      </c>
      <c r="C80" s="2"/>
      <c r="D80" s="3">
        <v>1094.0</v>
      </c>
      <c r="E80" s="3">
        <v>2637.0</v>
      </c>
      <c r="F80" s="3">
        <v>1032.0</v>
      </c>
      <c r="G80" s="3">
        <v>23.0</v>
      </c>
    </row>
    <row r="81">
      <c r="A81" s="2"/>
      <c r="B81" s="1" t="s">
        <v>158</v>
      </c>
      <c r="C81" s="2"/>
      <c r="D81" s="3">
        <v>0.0</v>
      </c>
      <c r="E81" s="3">
        <v>0.0</v>
      </c>
      <c r="F81" s="3">
        <v>9800.0</v>
      </c>
      <c r="G81" s="3">
        <v>15000.0</v>
      </c>
    </row>
    <row r="82">
      <c r="A82" s="2"/>
      <c r="B82" s="1" t="s">
        <v>159</v>
      </c>
      <c r="C82" s="2"/>
      <c r="D82" s="3">
        <v>43381.0</v>
      </c>
      <c r="E82" s="3">
        <v>61185.0</v>
      </c>
      <c r="F82" s="3">
        <v>52970.0</v>
      </c>
      <c r="G82" s="3">
        <v>55348.0</v>
      </c>
    </row>
    <row r="83">
      <c r="A83" s="2"/>
      <c r="B83" s="1" t="s">
        <v>160</v>
      </c>
      <c r="C83" s="2"/>
      <c r="D83" s="3">
        <v>893.0</v>
      </c>
      <c r="E83" s="3">
        <v>-1004.0</v>
      </c>
      <c r="F83" s="3">
        <v>-46.0</v>
      </c>
      <c r="G83" s="3">
        <v>134.0</v>
      </c>
    </row>
    <row r="84">
      <c r="A84" s="2"/>
      <c r="B84" s="2"/>
      <c r="C84" s="2"/>
      <c r="D84" s="2"/>
      <c r="E84" s="2"/>
      <c r="F84" s="2"/>
      <c r="G84" s="2"/>
    </row>
    <row r="85">
      <c r="A85" s="2"/>
      <c r="B85" s="1" t="s">
        <v>161</v>
      </c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1" t="s">
        <v>162</v>
      </c>
      <c r="C87" s="2"/>
      <c r="D87" s="3">
        <v>1400.0</v>
      </c>
      <c r="E87" s="3">
        <v>1500.0</v>
      </c>
      <c r="F87" s="3">
        <v>1600.0</v>
      </c>
      <c r="G87" s="3">
        <v>1400.0</v>
      </c>
    </row>
    <row r="88">
      <c r="A88" s="2"/>
      <c r="B88" s="1" t="s">
        <v>163</v>
      </c>
      <c r="C88" s="2"/>
      <c r="D88" s="3">
        <v>3300.0</v>
      </c>
      <c r="E88" s="3">
        <v>3300.0</v>
      </c>
      <c r="F88" s="3">
        <v>3000.0</v>
      </c>
      <c r="G88" s="3">
        <v>3000.0</v>
      </c>
    </row>
    <row r="89">
      <c r="A89" s="2"/>
      <c r="B89" s="1" t="s">
        <v>164</v>
      </c>
      <c r="C89" s="2"/>
      <c r="D89" s="3">
        <v>3200.0</v>
      </c>
      <c r="E89" s="3">
        <v>3200.0</v>
      </c>
      <c r="F89" s="3">
        <v>3200.0</v>
      </c>
      <c r="G89" s="3">
        <v>3200.0</v>
      </c>
    </row>
    <row r="90">
      <c r="A90" s="2"/>
      <c r="B90" s="1" t="s">
        <v>165</v>
      </c>
      <c r="C90" s="2"/>
      <c r="D90" s="3">
        <v>1500.0</v>
      </c>
      <c r="E90" s="3">
        <v>1600.0</v>
      </c>
      <c r="F90" s="3">
        <v>1400.0</v>
      </c>
      <c r="G90" s="3">
        <v>1200.0</v>
      </c>
    </row>
    <row r="91">
      <c r="A91" s="2"/>
      <c r="B91" s="2"/>
      <c r="C91" s="2"/>
      <c r="D91" s="2"/>
      <c r="E91" s="2"/>
      <c r="F91" s="2"/>
      <c r="G91" s="2"/>
    </row>
    <row r="92">
      <c r="A92" s="2"/>
      <c r="B92" s="1" t="s">
        <v>166</v>
      </c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1" t="s">
        <v>162</v>
      </c>
      <c r="C94" s="2"/>
      <c r="D94" s="3">
        <v>7000.0</v>
      </c>
      <c r="E94" s="3">
        <v>7500.0</v>
      </c>
      <c r="F94" s="3">
        <v>8000.0</v>
      </c>
      <c r="G94" s="3">
        <v>7000.0</v>
      </c>
    </row>
    <row r="95">
      <c r="A95" s="2"/>
      <c r="B95" s="1" t="s">
        <v>163</v>
      </c>
      <c r="C95" s="2"/>
      <c r="D95" s="3">
        <v>16500.0</v>
      </c>
      <c r="E95" s="3">
        <v>16500.0</v>
      </c>
      <c r="F95" s="3">
        <v>15000.0</v>
      </c>
      <c r="G95" s="3">
        <v>15000.0</v>
      </c>
    </row>
    <row r="96">
      <c r="A96" s="2"/>
      <c r="B96" s="1" t="s">
        <v>164</v>
      </c>
      <c r="C96" s="2"/>
      <c r="D96" s="3">
        <v>16000.0</v>
      </c>
      <c r="E96" s="3">
        <v>16000.0</v>
      </c>
      <c r="F96" s="3">
        <v>16000.0</v>
      </c>
      <c r="G96" s="3">
        <v>16000.0</v>
      </c>
    </row>
    <row r="97">
      <c r="A97" s="2"/>
      <c r="B97" s="1" t="s">
        <v>165</v>
      </c>
      <c r="C97" s="2"/>
      <c r="D97" s="3">
        <v>7500.0</v>
      </c>
      <c r="E97" s="3">
        <v>8000.0</v>
      </c>
      <c r="F97" s="3">
        <v>7000.0</v>
      </c>
      <c r="G97" s="3">
        <v>6000.0</v>
      </c>
    </row>
    <row r="98">
      <c r="A98" s="2"/>
      <c r="B98" s="2"/>
      <c r="C98" s="2"/>
      <c r="D98" s="2"/>
      <c r="E98" s="2"/>
      <c r="F98" s="2"/>
      <c r="G98" s="2"/>
    </row>
    <row r="99">
      <c r="A99" s="2"/>
      <c r="B99" s="1" t="s">
        <v>167</v>
      </c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1" t="s">
        <v>162</v>
      </c>
      <c r="C101" s="2"/>
      <c r="D101" s="3">
        <v>350.0</v>
      </c>
      <c r="E101" s="3">
        <v>300.0</v>
      </c>
      <c r="F101" s="3">
        <v>250.0</v>
      </c>
      <c r="G101" s="3">
        <v>50.0</v>
      </c>
    </row>
    <row r="102">
      <c r="A102" s="2"/>
      <c r="B102" s="1" t="s">
        <v>163</v>
      </c>
      <c r="C102" s="2"/>
      <c r="D102" s="3">
        <v>750.0</v>
      </c>
      <c r="E102" s="3">
        <v>750.0</v>
      </c>
      <c r="F102" s="3">
        <v>600.0</v>
      </c>
      <c r="G102" s="3">
        <v>900.0</v>
      </c>
    </row>
    <row r="103">
      <c r="A103" s="2"/>
      <c r="B103" s="1" t="s">
        <v>164</v>
      </c>
      <c r="C103" s="2"/>
      <c r="D103" s="3">
        <v>800.0</v>
      </c>
      <c r="E103" s="3">
        <v>800.0</v>
      </c>
      <c r="F103" s="3">
        <v>800.0</v>
      </c>
      <c r="G103" s="3">
        <v>800.0</v>
      </c>
    </row>
    <row r="104">
      <c r="A104" s="2"/>
      <c r="B104" s="1" t="s">
        <v>165</v>
      </c>
      <c r="C104" s="2"/>
      <c r="D104" s="3">
        <v>300.0</v>
      </c>
      <c r="E104" s="3">
        <v>250.0</v>
      </c>
      <c r="F104" s="3">
        <v>50.0</v>
      </c>
      <c r="G104" s="3">
        <v>150.0</v>
      </c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1" t="s">
        <v>168</v>
      </c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1" t="s">
        <v>162</v>
      </c>
      <c r="C108" s="2"/>
      <c r="D108" s="3">
        <v>438.0</v>
      </c>
      <c r="E108" s="3">
        <v>375.0</v>
      </c>
      <c r="F108" s="3">
        <v>313.0</v>
      </c>
      <c r="G108" s="3">
        <v>63.0</v>
      </c>
    </row>
    <row r="109">
      <c r="A109" s="2"/>
      <c r="B109" s="1" t="s">
        <v>163</v>
      </c>
      <c r="C109" s="2"/>
      <c r="D109" s="3">
        <v>938.0</v>
      </c>
      <c r="E109" s="3">
        <v>938.0</v>
      </c>
      <c r="F109" s="3">
        <v>750.0</v>
      </c>
      <c r="G109" s="3">
        <v>1125.0</v>
      </c>
    </row>
    <row r="110">
      <c r="A110" s="2"/>
      <c r="B110" s="1" t="s">
        <v>164</v>
      </c>
      <c r="C110" s="2"/>
      <c r="D110" s="3">
        <v>1000.0</v>
      </c>
      <c r="E110" s="3">
        <v>1000.0</v>
      </c>
      <c r="F110" s="3">
        <v>1000.0</v>
      </c>
      <c r="G110" s="3">
        <v>1000.0</v>
      </c>
    </row>
    <row r="111">
      <c r="A111" s="2"/>
      <c r="B111" s="1" t="s">
        <v>165</v>
      </c>
      <c r="C111" s="2"/>
      <c r="D111" s="3">
        <v>375.0</v>
      </c>
      <c r="E111" s="3">
        <v>313.0</v>
      </c>
      <c r="F111" s="3">
        <v>63.0</v>
      </c>
      <c r="G111" s="3">
        <v>188.0</v>
      </c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1" t="s">
        <v>169</v>
      </c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1" t="s">
        <v>162</v>
      </c>
      <c r="C115" s="2"/>
      <c r="D115" s="3">
        <v>197500.0</v>
      </c>
      <c r="E115" s="3">
        <v>210000.0</v>
      </c>
      <c r="F115" s="3">
        <v>31972.0</v>
      </c>
      <c r="G115" s="3">
        <v>4542.0</v>
      </c>
    </row>
    <row r="116">
      <c r="A116" s="2"/>
      <c r="B116" s="1" t="s">
        <v>170</v>
      </c>
      <c r="C116" s="2"/>
      <c r="D116" s="3">
        <v>200000.0</v>
      </c>
      <c r="E116" s="3">
        <v>200000.0</v>
      </c>
      <c r="F116" s="3">
        <v>200000.0</v>
      </c>
      <c r="G116" s="3">
        <v>200000.0</v>
      </c>
    </row>
    <row r="117">
      <c r="A117" s="2"/>
      <c r="B117" s="1" t="s">
        <v>171</v>
      </c>
      <c r="C117" s="2"/>
      <c r="D117" s="3">
        <v>187500.0</v>
      </c>
      <c r="E117" s="3">
        <v>378028.0</v>
      </c>
      <c r="F117" s="3">
        <v>227430.0</v>
      </c>
      <c r="G117" s="3">
        <v>137796.0</v>
      </c>
    </row>
    <row r="118">
      <c r="A118" s="2"/>
      <c r="B118" s="1" t="s">
        <v>165</v>
      </c>
      <c r="C118" s="2"/>
      <c r="D118" s="3">
        <v>210000.0</v>
      </c>
      <c r="E118" s="3">
        <v>31972.0</v>
      </c>
      <c r="F118" s="3">
        <v>4542.0</v>
      </c>
      <c r="G118" s="3">
        <v>66746.0</v>
      </c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1" t="s">
        <v>172</v>
      </c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1" t="s">
        <v>162</v>
      </c>
      <c r="C122" s="2"/>
      <c r="D122" s="3">
        <v>30613.0</v>
      </c>
      <c r="E122" s="3">
        <v>33400.0</v>
      </c>
      <c r="F122" s="3">
        <v>5147.0</v>
      </c>
      <c r="G122" s="3">
        <v>739.0</v>
      </c>
    </row>
    <row r="123">
      <c r="A123" s="2"/>
      <c r="B123" s="1" t="s">
        <v>170</v>
      </c>
      <c r="C123" s="2"/>
      <c r="D123" s="3">
        <v>32600.0</v>
      </c>
      <c r="E123" s="3">
        <v>32600.0</v>
      </c>
      <c r="F123" s="3">
        <v>32600.0</v>
      </c>
      <c r="G123" s="3">
        <v>32600.0</v>
      </c>
    </row>
    <row r="124">
      <c r="A124" s="2"/>
      <c r="B124" s="1" t="s">
        <v>171</v>
      </c>
      <c r="C124" s="2"/>
      <c r="D124" s="3">
        <v>29813.0</v>
      </c>
      <c r="E124" s="3">
        <v>60853.0</v>
      </c>
      <c r="F124" s="3">
        <v>37008.0</v>
      </c>
      <c r="G124" s="3">
        <v>22460.0</v>
      </c>
    </row>
    <row r="125">
      <c r="A125" s="2"/>
      <c r="B125" s="1" t="s">
        <v>165</v>
      </c>
      <c r="C125" s="2"/>
      <c r="D125" s="3">
        <v>33400.0</v>
      </c>
      <c r="E125" s="3">
        <v>5147.0</v>
      </c>
      <c r="F125" s="3">
        <v>739.0</v>
      </c>
      <c r="G125" s="3">
        <v>10879.0</v>
      </c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1" t="s">
        <v>173</v>
      </c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1" t="s">
        <v>162</v>
      </c>
      <c r="C129" s="2"/>
      <c r="D129" s="3">
        <v>0.0</v>
      </c>
      <c r="E129" s="3">
        <v>0.0</v>
      </c>
      <c r="F129" s="3">
        <v>0.0</v>
      </c>
      <c r="G129" s="3">
        <v>0.0</v>
      </c>
    </row>
    <row r="130">
      <c r="A130" s="2"/>
      <c r="B130" s="1" t="s">
        <v>170</v>
      </c>
      <c r="C130" s="2"/>
      <c r="D130" s="3">
        <v>0.0</v>
      </c>
      <c r="E130" s="3">
        <v>0.0</v>
      </c>
      <c r="F130" s="3">
        <v>0.0</v>
      </c>
      <c r="G130" s="3">
        <v>0.0</v>
      </c>
    </row>
    <row r="131">
      <c r="A131" s="2"/>
      <c r="B131" s="1" t="s">
        <v>171</v>
      </c>
      <c r="C131" s="2"/>
      <c r="D131" s="3">
        <v>0.0</v>
      </c>
      <c r="E131" s="3">
        <v>0.0</v>
      </c>
      <c r="F131" s="3">
        <v>0.0</v>
      </c>
      <c r="G131" s="3">
        <v>0.0</v>
      </c>
    </row>
    <row r="132">
      <c r="A132" s="2"/>
      <c r="B132" s="1" t="s">
        <v>165</v>
      </c>
      <c r="C132" s="2"/>
      <c r="D132" s="3">
        <v>0.0</v>
      </c>
      <c r="E132" s="3">
        <v>0.0</v>
      </c>
      <c r="F132" s="3">
        <v>0.0</v>
      </c>
      <c r="G132" s="3">
        <v>0.0</v>
      </c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1" t="s">
        <v>174</v>
      </c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1" t="s">
        <v>162</v>
      </c>
      <c r="C136" s="2"/>
      <c r="D136" s="3">
        <v>0.0</v>
      </c>
      <c r="E136" s="3">
        <v>0.0</v>
      </c>
      <c r="F136" s="3">
        <v>0.0</v>
      </c>
      <c r="G136" s="3">
        <v>0.0</v>
      </c>
    </row>
    <row r="137">
      <c r="A137" s="2"/>
      <c r="B137" s="1" t="s">
        <v>170</v>
      </c>
      <c r="C137" s="2"/>
      <c r="D137" s="3">
        <v>0.0</v>
      </c>
      <c r="E137" s="3">
        <v>0.0</v>
      </c>
      <c r="F137" s="3">
        <v>0.0</v>
      </c>
      <c r="G137" s="3">
        <v>0.0</v>
      </c>
    </row>
    <row r="138">
      <c r="A138" s="2"/>
      <c r="B138" s="1" t="s">
        <v>171</v>
      </c>
      <c r="C138" s="2"/>
      <c r="D138" s="3">
        <v>0.0</v>
      </c>
      <c r="E138" s="3">
        <v>0.0</v>
      </c>
      <c r="F138" s="3">
        <v>0.0</v>
      </c>
      <c r="G138" s="3">
        <v>0.0</v>
      </c>
    </row>
    <row r="139">
      <c r="A139" s="2"/>
      <c r="B139" s="1" t="s">
        <v>165</v>
      </c>
      <c r="C139" s="2"/>
      <c r="D139" s="3">
        <v>0.0</v>
      </c>
      <c r="E139" s="3">
        <v>0.0</v>
      </c>
      <c r="F139" s="3">
        <v>0.0</v>
      </c>
      <c r="G139" s="3">
        <v>0.0</v>
      </c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1" t="s">
        <v>175</v>
      </c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1" t="s">
        <v>162</v>
      </c>
      <c r="C143" s="2"/>
      <c r="D143" s="3">
        <v>0.0</v>
      </c>
      <c r="E143" s="3">
        <v>0.0</v>
      </c>
      <c r="F143" s="3">
        <v>0.0</v>
      </c>
      <c r="G143" s="3">
        <v>0.0</v>
      </c>
    </row>
    <row r="144">
      <c r="A144" s="2"/>
      <c r="B144" s="1" t="s">
        <v>170</v>
      </c>
      <c r="C144" s="2"/>
      <c r="D144" s="3">
        <v>0.0</v>
      </c>
      <c r="E144" s="3">
        <v>0.0</v>
      </c>
      <c r="F144" s="3">
        <v>0.0</v>
      </c>
      <c r="G144" s="3">
        <v>0.0</v>
      </c>
    </row>
    <row r="145">
      <c r="A145" s="2"/>
      <c r="B145" s="1" t="s">
        <v>171</v>
      </c>
      <c r="C145" s="2"/>
      <c r="D145" s="3">
        <v>0.0</v>
      </c>
      <c r="E145" s="3">
        <v>0.0</v>
      </c>
      <c r="F145" s="3">
        <v>0.0</v>
      </c>
      <c r="G145" s="3">
        <v>0.0</v>
      </c>
    </row>
    <row r="146">
      <c r="A146" s="2"/>
      <c r="B146" s="1" t="s">
        <v>165</v>
      </c>
      <c r="C146" s="2"/>
      <c r="D146" s="3">
        <v>0.0</v>
      </c>
      <c r="E146" s="3">
        <v>0.0</v>
      </c>
      <c r="F146" s="3">
        <v>0.0</v>
      </c>
      <c r="G146" s="3">
        <v>0.0</v>
      </c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1" t="s">
        <v>176</v>
      </c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1" t="s">
        <v>162</v>
      </c>
      <c r="C150" s="2"/>
      <c r="D150" s="3">
        <v>0.0</v>
      </c>
      <c r="E150" s="3">
        <v>0.0</v>
      </c>
      <c r="F150" s="3">
        <v>0.0</v>
      </c>
      <c r="G150" s="3">
        <v>0.0</v>
      </c>
    </row>
    <row r="151">
      <c r="A151" s="2"/>
      <c r="B151" s="1" t="s">
        <v>170</v>
      </c>
      <c r="C151" s="2"/>
      <c r="D151" s="3">
        <v>0.0</v>
      </c>
      <c r="E151" s="3">
        <v>0.0</v>
      </c>
      <c r="F151" s="3">
        <v>0.0</v>
      </c>
      <c r="G151" s="3">
        <v>0.0</v>
      </c>
    </row>
    <row r="152">
      <c r="A152" s="2"/>
      <c r="B152" s="1" t="s">
        <v>171</v>
      </c>
      <c r="C152" s="2"/>
      <c r="D152" s="3">
        <v>0.0</v>
      </c>
      <c r="E152" s="3">
        <v>0.0</v>
      </c>
      <c r="F152" s="3">
        <v>0.0</v>
      </c>
      <c r="G152" s="3">
        <v>0.0</v>
      </c>
    </row>
    <row r="153">
      <c r="A153" s="2"/>
      <c r="B153" s="1" t="s">
        <v>165</v>
      </c>
      <c r="C153" s="2"/>
      <c r="D153" s="3">
        <v>0.0</v>
      </c>
      <c r="E153" s="3">
        <v>0.0</v>
      </c>
      <c r="F153" s="3">
        <v>0.0</v>
      </c>
      <c r="G153" s="3">
        <v>0.0</v>
      </c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1" t="s">
        <v>177</v>
      </c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1" t="s">
        <v>178</v>
      </c>
      <c r="C157" s="2"/>
      <c r="D157" s="1" t="s">
        <v>179</v>
      </c>
      <c r="E157" s="1" t="s">
        <v>180</v>
      </c>
      <c r="F157" s="1" t="s">
        <v>181</v>
      </c>
      <c r="G157" s="1" t="s">
        <v>182</v>
      </c>
    </row>
    <row r="158">
      <c r="A158" s="2"/>
      <c r="B158" s="1" t="s">
        <v>183</v>
      </c>
      <c r="C158" s="2"/>
      <c r="D158" s="1" t="s">
        <v>184</v>
      </c>
      <c r="E158" s="1" t="s">
        <v>185</v>
      </c>
      <c r="F158" s="1" t="s">
        <v>186</v>
      </c>
      <c r="G158" s="1" t="s">
        <v>187</v>
      </c>
    </row>
    <row r="159">
      <c r="A159" s="2"/>
      <c r="B159" s="1" t="s">
        <v>188</v>
      </c>
      <c r="C159" s="2"/>
      <c r="D159" s="1" t="s">
        <v>189</v>
      </c>
      <c r="E159" s="1" t="s">
        <v>190</v>
      </c>
      <c r="F159" s="1" t="s">
        <v>191</v>
      </c>
      <c r="G159" s="1" t="s">
        <v>192</v>
      </c>
    </row>
    <row r="160">
      <c r="A160" s="2"/>
      <c r="B160" s="1" t="s">
        <v>193</v>
      </c>
      <c r="C160" s="2"/>
      <c r="D160" s="3">
        <v>47387.0</v>
      </c>
      <c r="E160" s="3">
        <v>48992.0</v>
      </c>
      <c r="F160" s="3">
        <v>47338.0</v>
      </c>
      <c r="G160" s="3">
        <v>43635.0</v>
      </c>
    </row>
    <row r="161">
      <c r="A161" s="2"/>
      <c r="B161" s="1" t="s">
        <v>194</v>
      </c>
      <c r="C161" s="2"/>
      <c r="D161" s="3">
        <v>46337.0</v>
      </c>
      <c r="E161" s="3">
        <v>48946.0</v>
      </c>
      <c r="F161" s="3">
        <v>37538.0</v>
      </c>
      <c r="G161" s="3">
        <v>28501.0</v>
      </c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1" t="s">
        <v>195</v>
      </c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1" t="s">
        <v>196</v>
      </c>
      <c r="C165" s="2"/>
      <c r="D165" s="1" t="s">
        <v>15</v>
      </c>
      <c r="E165" s="1" t="s">
        <v>15</v>
      </c>
      <c r="F165" s="1" t="s">
        <v>15</v>
      </c>
      <c r="G165" s="1" t="s">
        <v>15</v>
      </c>
    </row>
    <row r="166">
      <c r="A166" s="2"/>
      <c r="B166" s="1" t="s">
        <v>197</v>
      </c>
      <c r="C166" s="2"/>
      <c r="D166" s="1" t="s">
        <v>15</v>
      </c>
      <c r="E166" s="1" t="s">
        <v>15</v>
      </c>
      <c r="F166" s="1" t="s">
        <v>15</v>
      </c>
      <c r="G166" s="1" t="s">
        <v>15</v>
      </c>
    </row>
    <row r="167">
      <c r="A167" s="2"/>
      <c r="B167" s="1" t="s">
        <v>198</v>
      </c>
      <c r="C167" s="2"/>
      <c r="D167" s="1" t="s">
        <v>15</v>
      </c>
      <c r="E167" s="1" t="s">
        <v>15</v>
      </c>
      <c r="F167" s="1" t="s">
        <v>15</v>
      </c>
      <c r="G167" s="1" t="s">
        <v>15</v>
      </c>
    </row>
    <row r="168">
      <c r="A168" s="2"/>
      <c r="B168" s="1" t="s">
        <v>199</v>
      </c>
      <c r="C168" s="2"/>
      <c r="D168" s="1" t="s">
        <v>15</v>
      </c>
      <c r="E168" s="1" t="s">
        <v>15</v>
      </c>
      <c r="F168" s="1" t="s">
        <v>15</v>
      </c>
      <c r="G168" s="1" t="s">
        <v>15</v>
      </c>
    </row>
    <row r="169">
      <c r="A169" s="2"/>
      <c r="B169" s="1" t="s">
        <v>200</v>
      </c>
      <c r="C169" s="2"/>
      <c r="D169" s="1" t="s">
        <v>15</v>
      </c>
      <c r="E169" s="1" t="s">
        <v>15</v>
      </c>
      <c r="F169" s="1" t="s">
        <v>15</v>
      </c>
      <c r="G169" s="1" t="s">
        <v>15</v>
      </c>
    </row>
    <row r="170">
      <c r="A170" s="2"/>
      <c r="B170" s="1" t="s">
        <v>201</v>
      </c>
      <c r="C170" s="2"/>
      <c r="D170" s="1" t="s">
        <v>15</v>
      </c>
      <c r="E170" s="1" t="s">
        <v>202</v>
      </c>
      <c r="F170" s="1" t="s">
        <v>203</v>
      </c>
      <c r="G170" s="1" t="s">
        <v>204</v>
      </c>
    </row>
    <row r="171">
      <c r="A171" s="2"/>
      <c r="B171" s="1" t="s">
        <v>205</v>
      </c>
      <c r="C171" s="2"/>
      <c r="D171" s="1" t="s">
        <v>15</v>
      </c>
      <c r="E171" s="1" t="s">
        <v>15</v>
      </c>
      <c r="F171" s="1" t="s">
        <v>182</v>
      </c>
      <c r="G171" s="1" t="s">
        <v>206</v>
      </c>
    </row>
    <row r="172">
      <c r="A172" s="2"/>
      <c r="B172" s="1" t="s">
        <v>207</v>
      </c>
      <c r="C172" s="2"/>
      <c r="D172" s="1" t="s">
        <v>15</v>
      </c>
      <c r="E172" s="1" t="s">
        <v>15</v>
      </c>
      <c r="F172" s="1" t="s">
        <v>15</v>
      </c>
      <c r="G172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/>
      <c r="C1" s="4" t="s">
        <v>208</v>
      </c>
      <c r="D1" s="4" t="s">
        <v>209</v>
      </c>
      <c r="E1" s="4" t="s">
        <v>210</v>
      </c>
      <c r="F1" s="4" t="s">
        <v>211</v>
      </c>
      <c r="G1" s="4" t="s">
        <v>212</v>
      </c>
      <c r="H1" s="4" t="s">
        <v>213</v>
      </c>
      <c r="I1" s="4" t="s">
        <v>214</v>
      </c>
      <c r="J1" s="4" t="s">
        <v>215</v>
      </c>
      <c r="K1" s="4" t="s">
        <v>216</v>
      </c>
      <c r="L1" s="4" t="s">
        <v>217</v>
      </c>
    </row>
    <row r="2">
      <c r="A2" s="4" t="s">
        <v>218</v>
      </c>
      <c r="B2" s="4">
        <v>35000.0</v>
      </c>
      <c r="C2" s="4">
        <v>22750.0</v>
      </c>
      <c r="D2" s="11">
        <f t="shared" ref="D2:L2" si="1">C2-$B$2*0.05</f>
        <v>21000</v>
      </c>
      <c r="E2" s="11">
        <f t="shared" si="1"/>
        <v>19250</v>
      </c>
      <c r="F2" s="11">
        <f t="shared" si="1"/>
        <v>17500</v>
      </c>
      <c r="G2" s="11">
        <f t="shared" si="1"/>
        <v>15750</v>
      </c>
      <c r="H2" s="11">
        <f t="shared" si="1"/>
        <v>14000</v>
      </c>
      <c r="I2" s="11">
        <f t="shared" si="1"/>
        <v>12250</v>
      </c>
      <c r="J2" s="11">
        <f t="shared" si="1"/>
        <v>10500</v>
      </c>
      <c r="K2" s="11">
        <f t="shared" si="1"/>
        <v>8750</v>
      </c>
      <c r="L2" s="11">
        <f t="shared" si="1"/>
        <v>7000</v>
      </c>
    </row>
    <row r="3">
      <c r="A3" s="4" t="s">
        <v>219</v>
      </c>
      <c r="C3" s="11">
        <f t="shared" ref="C3:L3" si="2">C2*1.5</f>
        <v>34125</v>
      </c>
      <c r="D3" s="11">
        <f t="shared" si="2"/>
        <v>31500</v>
      </c>
      <c r="E3" s="11">
        <f t="shared" si="2"/>
        <v>28875</v>
      </c>
      <c r="F3" s="11">
        <f t="shared" si="2"/>
        <v>26250</v>
      </c>
      <c r="G3" s="11">
        <f t="shared" si="2"/>
        <v>23625</v>
      </c>
      <c r="H3" s="11">
        <f t="shared" si="2"/>
        <v>21000</v>
      </c>
      <c r="I3" s="11">
        <f t="shared" si="2"/>
        <v>18375</v>
      </c>
      <c r="J3" s="11">
        <f t="shared" si="2"/>
        <v>15750</v>
      </c>
      <c r="K3" s="11">
        <f t="shared" si="2"/>
        <v>13125</v>
      </c>
      <c r="L3" s="11">
        <f t="shared" si="2"/>
        <v>10500</v>
      </c>
    </row>
    <row r="4">
      <c r="J4" s="4" t="s">
        <v>220</v>
      </c>
    </row>
    <row r="6">
      <c r="G6" s="4" t="s">
        <v>221</v>
      </c>
      <c r="I6" s="4">
        <v>35000.0</v>
      </c>
      <c r="J6" s="11">
        <f t="shared" ref="J6:L6" si="3">I6-$B$2*0.05</f>
        <v>33250</v>
      </c>
      <c r="K6" s="11">
        <f t="shared" si="3"/>
        <v>31500</v>
      </c>
      <c r="L6" s="11">
        <f t="shared" si="3"/>
        <v>29750</v>
      </c>
    </row>
    <row r="7">
      <c r="I7" s="11">
        <f t="shared" ref="I7:L7" si="4">I6*1.5</f>
        <v>52500</v>
      </c>
      <c r="J7" s="11">
        <f t="shared" si="4"/>
        <v>49875</v>
      </c>
      <c r="K7" s="11">
        <f t="shared" si="4"/>
        <v>47250</v>
      </c>
      <c r="L7" s="11">
        <f t="shared" si="4"/>
        <v>44625</v>
      </c>
    </row>
    <row r="8">
      <c r="I8" s="4">
        <v>0.0</v>
      </c>
      <c r="J8" s="4">
        <v>0.0</v>
      </c>
      <c r="K8" s="4">
        <v>35000.0</v>
      </c>
      <c r="L8" s="11">
        <f t="shared" ref="L8:N8" si="5">K8-$B$2*0.05</f>
        <v>33250</v>
      </c>
      <c r="M8" s="11">
        <f t="shared" si="5"/>
        <v>31500</v>
      </c>
      <c r="N8" s="11">
        <f t="shared" si="5"/>
        <v>29750</v>
      </c>
    </row>
    <row r="9">
      <c r="I9" s="11">
        <f t="shared" ref="I9:N9" si="6">I8*1.5</f>
        <v>0</v>
      </c>
      <c r="J9" s="11">
        <f t="shared" si="6"/>
        <v>0</v>
      </c>
      <c r="K9" s="11">
        <f t="shared" si="6"/>
        <v>52500</v>
      </c>
      <c r="L9" s="11">
        <f t="shared" si="6"/>
        <v>49875</v>
      </c>
      <c r="M9" s="11">
        <f t="shared" si="6"/>
        <v>47250</v>
      </c>
      <c r="N9" s="11">
        <f t="shared" si="6"/>
        <v>44625</v>
      </c>
    </row>
    <row r="10">
      <c r="I10" s="4">
        <v>0.0</v>
      </c>
      <c r="J10" s="4">
        <v>0.0</v>
      </c>
      <c r="K10" s="4">
        <v>0.0</v>
      </c>
      <c r="L10" s="4">
        <v>35000.0</v>
      </c>
      <c r="M10" s="11">
        <f t="shared" ref="M10:O10" si="7">L10-$B$2*0.05</f>
        <v>33250</v>
      </c>
      <c r="N10" s="11">
        <f t="shared" si="7"/>
        <v>31500</v>
      </c>
      <c r="O10" s="11">
        <f t="shared" si="7"/>
        <v>29750</v>
      </c>
    </row>
    <row r="11">
      <c r="I11" s="11">
        <f t="shared" ref="I11:J11" si="8">I10*1.5</f>
        <v>0</v>
      </c>
      <c r="J11" s="11">
        <f t="shared" si="8"/>
        <v>0</v>
      </c>
      <c r="K11" s="4">
        <v>0.0</v>
      </c>
      <c r="L11" s="11">
        <f t="shared" ref="L11:O11" si="9">L10*1.5</f>
        <v>52500</v>
      </c>
      <c r="M11" s="11">
        <f t="shared" si="9"/>
        <v>49875</v>
      </c>
      <c r="N11" s="11">
        <f t="shared" si="9"/>
        <v>47250</v>
      </c>
      <c r="O11" s="11">
        <f t="shared" si="9"/>
        <v>44625</v>
      </c>
    </row>
    <row r="12">
      <c r="I12" s="11">
        <f t="shared" ref="I12:J12" si="10">I3*10+I7 +I9</f>
        <v>236250</v>
      </c>
      <c r="J12" s="11">
        <f t="shared" si="10"/>
        <v>207375</v>
      </c>
      <c r="K12" s="11">
        <f>K3*10+K7 +1*K9 +K11</f>
        <v>231000</v>
      </c>
      <c r="L12" s="11">
        <f>L3*10+L7 +1*L9 +0*L11</f>
        <v>199500</v>
      </c>
    </row>
    <row r="16">
      <c r="G16" s="4" t="s">
        <v>222</v>
      </c>
      <c r="H16" s="4">
        <v>25000.0</v>
      </c>
      <c r="I16" s="11">
        <f t="shared" ref="I16:L16" si="11">H16-$H$16*0.05</f>
        <v>23750</v>
      </c>
      <c r="J16" s="11">
        <f t="shared" si="11"/>
        <v>22500</v>
      </c>
      <c r="K16" s="11">
        <f t="shared" si="11"/>
        <v>21250</v>
      </c>
      <c r="L16" s="11">
        <f t="shared" si="11"/>
        <v>20000</v>
      </c>
    </row>
    <row r="17">
      <c r="H17" s="11">
        <f t="shared" ref="H17:L17" si="12">H16*1.5</f>
        <v>37500</v>
      </c>
      <c r="I17" s="11">
        <f t="shared" si="12"/>
        <v>35625</v>
      </c>
      <c r="J17" s="11">
        <f t="shared" si="12"/>
        <v>33750</v>
      </c>
      <c r="K17" s="11">
        <f t="shared" si="12"/>
        <v>31875</v>
      </c>
      <c r="L17" s="11">
        <f t="shared" si="12"/>
        <v>30000</v>
      </c>
    </row>
    <row r="18">
      <c r="H18" s="4">
        <v>0.0</v>
      </c>
      <c r="I18" s="4">
        <v>0.0</v>
      </c>
      <c r="J18" s="4">
        <v>25000.0</v>
      </c>
      <c r="K18" s="11">
        <f t="shared" ref="K18:L18" si="13">J18-$H$16*0.05</f>
        <v>23750</v>
      </c>
      <c r="L18" s="11">
        <f t="shared" si="13"/>
        <v>22500</v>
      </c>
    </row>
    <row r="19">
      <c r="J19" s="11">
        <f t="shared" ref="J19:L19" si="14">J18*1.5</f>
        <v>37500</v>
      </c>
      <c r="K19" s="11">
        <f t="shared" si="14"/>
        <v>35625</v>
      </c>
      <c r="L19" s="11">
        <f t="shared" si="14"/>
        <v>33750</v>
      </c>
    </row>
    <row r="22">
      <c r="G22" s="4" t="s">
        <v>223</v>
      </c>
      <c r="H22" s="11">
        <f t="shared" ref="H22:I22" si="15">SUM(H17:H18)</f>
        <v>37500</v>
      </c>
      <c r="I22" s="11">
        <f t="shared" si="15"/>
        <v>35625</v>
      </c>
      <c r="J22" s="11">
        <f t="shared" ref="J22:L22" si="16">J17+J19</f>
        <v>71250</v>
      </c>
      <c r="K22" s="11">
        <f t="shared" si="16"/>
        <v>67500</v>
      </c>
      <c r="L22" s="11">
        <f t="shared" si="16"/>
        <v>63750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13" max="13" width="16.0"/>
    <col customWidth="1" min="14" max="14" width="15.38"/>
    <col customWidth="1" min="19" max="19" width="15.5"/>
  </cols>
  <sheetData>
    <row r="9">
      <c r="B9" s="4">
        <v>1060.0</v>
      </c>
      <c r="C9" s="4">
        <v>200.0</v>
      </c>
    </row>
    <row r="10">
      <c r="C10" s="4">
        <f>B9*C9</f>
        <v>212000</v>
      </c>
    </row>
    <row r="11">
      <c r="A11" s="4" t="s">
        <v>224</v>
      </c>
      <c r="B11" s="4">
        <v>200000.0</v>
      </c>
      <c r="C11" s="11">
        <f>B9*250</f>
        <v>265000</v>
      </c>
    </row>
    <row r="12">
      <c r="B12" s="4">
        <v>250000.0</v>
      </c>
    </row>
    <row r="13">
      <c r="A13" s="4" t="s">
        <v>225</v>
      </c>
      <c r="B13" s="4">
        <v>6.0</v>
      </c>
      <c r="C13" s="4" t="s">
        <v>226</v>
      </c>
      <c r="D13" s="4">
        <v>6.0</v>
      </c>
    </row>
    <row r="14">
      <c r="A14" s="4" t="s">
        <v>227</v>
      </c>
      <c r="B14" s="4">
        <v>1.25</v>
      </c>
      <c r="C14" s="4" t="s">
        <v>228</v>
      </c>
      <c r="D14" s="4">
        <v>1.626</v>
      </c>
    </row>
    <row r="15">
      <c r="A15" s="4" t="s">
        <v>229</v>
      </c>
      <c r="B15" s="11">
        <f t="shared" ref="B15:B17" si="1">B19*$B$13+C19*$B$14</f>
        <v>101</v>
      </c>
    </row>
    <row r="16">
      <c r="A16" s="4" t="s">
        <v>230</v>
      </c>
      <c r="B16" s="11">
        <f t="shared" si="1"/>
        <v>53.5</v>
      </c>
    </row>
    <row r="17">
      <c r="A17" s="4" t="s">
        <v>231</v>
      </c>
      <c r="B17" s="11">
        <f t="shared" si="1"/>
        <v>36.25</v>
      </c>
    </row>
    <row r="19">
      <c r="A19" s="4" t="s">
        <v>232</v>
      </c>
      <c r="B19" s="4">
        <v>16.0</v>
      </c>
      <c r="C19" s="4">
        <v>4.0</v>
      </c>
    </row>
    <row r="20">
      <c r="A20" s="4" t="s">
        <v>12</v>
      </c>
      <c r="B20" s="4">
        <v>6.0</v>
      </c>
      <c r="C20" s="4">
        <v>14.0</v>
      </c>
    </row>
    <row r="21">
      <c r="A21" s="4" t="s">
        <v>233</v>
      </c>
      <c r="B21" s="4">
        <v>5.0</v>
      </c>
      <c r="C21" s="4">
        <v>5.0</v>
      </c>
    </row>
    <row r="22">
      <c r="A22" s="12" t="s">
        <v>234</v>
      </c>
      <c r="B22" s="4" t="s">
        <v>235</v>
      </c>
      <c r="C22" s="4" t="s">
        <v>236</v>
      </c>
      <c r="E22" s="4" t="s">
        <v>235</v>
      </c>
      <c r="F22" s="4" t="s">
        <v>236</v>
      </c>
      <c r="H22" s="4" t="s">
        <v>237</v>
      </c>
      <c r="I22" s="4" t="s">
        <v>238</v>
      </c>
      <c r="K22" s="4" t="s">
        <v>239</v>
      </c>
      <c r="L22" s="4" t="s">
        <v>240</v>
      </c>
      <c r="M22" s="12" t="s">
        <v>241</v>
      </c>
      <c r="N22" s="4" t="s">
        <v>235</v>
      </c>
      <c r="O22" s="4" t="s">
        <v>236</v>
      </c>
      <c r="Q22" s="4" t="s">
        <v>239</v>
      </c>
      <c r="R22" s="4" t="s">
        <v>240</v>
      </c>
      <c r="S22" s="12" t="s">
        <v>242</v>
      </c>
      <c r="T22" s="4" t="s">
        <v>235</v>
      </c>
      <c r="U22" s="4" t="s">
        <v>236</v>
      </c>
      <c r="W22" s="4" t="s">
        <v>239</v>
      </c>
      <c r="X22" s="4" t="s">
        <v>240</v>
      </c>
      <c r="Y22" s="13" t="s">
        <v>243</v>
      </c>
      <c r="Z22" s="13" t="s">
        <v>244</v>
      </c>
      <c r="AA22" s="13" t="s">
        <v>245</v>
      </c>
    </row>
    <row r="23">
      <c r="A23" s="4">
        <v>180.0</v>
      </c>
      <c r="B23" s="11">
        <f t="shared" ref="B23:B29" si="3">$A23*$B$19</f>
        <v>2880</v>
      </c>
      <c r="C23" s="11">
        <f t="shared" ref="C23:C29" si="4">$A23*$C$19</f>
        <v>720</v>
      </c>
      <c r="D23" s="4" t="s">
        <v>246</v>
      </c>
      <c r="E23" s="4">
        <v>1200.0</v>
      </c>
      <c r="F23" s="4">
        <v>150.0</v>
      </c>
      <c r="G23" s="4" t="s">
        <v>247</v>
      </c>
      <c r="H23" s="11">
        <f t="shared" ref="H23:H29" si="5">$B23-$E23</f>
        <v>1680</v>
      </c>
      <c r="I23" s="11">
        <f t="shared" ref="I23:I28" si="6">C23-$F23</f>
        <v>570</v>
      </c>
      <c r="J23" s="4" t="s">
        <v>248</v>
      </c>
      <c r="K23" s="11">
        <f t="shared" ref="K23:K33" si="7">H23*$B$13</f>
        <v>10080</v>
      </c>
      <c r="L23" s="11">
        <f t="shared" ref="L23:L32" si="8">$I23*$B$14</f>
        <v>712.5</v>
      </c>
      <c r="M23" s="4">
        <v>0.0</v>
      </c>
      <c r="N23" s="11">
        <f t="shared" ref="N23:N34" si="9">$M23*$B$20</f>
        <v>0</v>
      </c>
      <c r="O23" s="11">
        <f t="shared" ref="O23:O35" si="10">$M23*$C$20</f>
        <v>0</v>
      </c>
      <c r="P23" s="4" t="s">
        <v>248</v>
      </c>
      <c r="Q23" s="11">
        <f t="shared" ref="Q23:Q34" si="11">N23*$B$13</f>
        <v>0</v>
      </c>
      <c r="R23" s="11">
        <f t="shared" ref="R23:R33" si="12">O23*$B$14</f>
        <v>0</v>
      </c>
      <c r="S23" s="4">
        <v>20.0</v>
      </c>
      <c r="T23" s="14">
        <f t="shared" ref="T23:T34" si="13">$S23*$B$21</f>
        <v>100</v>
      </c>
      <c r="U23" s="14">
        <f t="shared" ref="U23:U31" si="14">$S23*$C$21</f>
        <v>100</v>
      </c>
      <c r="V23" s="4" t="s">
        <v>248</v>
      </c>
      <c r="W23" s="11">
        <f t="shared" ref="W23:W35" si="15">T23*$B$13</f>
        <v>600</v>
      </c>
      <c r="X23" s="11">
        <f t="shared" ref="X23:X33" si="16">U23*$B$14</f>
        <v>125</v>
      </c>
      <c r="Y23" s="11">
        <f t="shared" ref="Y23:Z23" si="2">H23+N23+T23</f>
        <v>1780</v>
      </c>
      <c r="Z23" s="11">
        <f t="shared" si="2"/>
        <v>670</v>
      </c>
      <c r="AA23" s="11">
        <f t="shared" ref="AA23:AA32" si="18">Y23*$B$13 + Z23*$B$14</f>
        <v>11517.5</v>
      </c>
    </row>
    <row r="24">
      <c r="A24" s="4">
        <v>120.0</v>
      </c>
      <c r="B24" s="11">
        <f t="shared" si="3"/>
        <v>1920</v>
      </c>
      <c r="C24" s="11">
        <f t="shared" si="4"/>
        <v>480</v>
      </c>
      <c r="E24" s="4">
        <v>100.0</v>
      </c>
      <c r="F24" s="4">
        <v>50.0</v>
      </c>
      <c r="G24" s="4"/>
      <c r="H24" s="11">
        <f t="shared" si="5"/>
        <v>1820</v>
      </c>
      <c r="I24" s="11">
        <f t="shared" si="6"/>
        <v>430</v>
      </c>
      <c r="K24" s="11">
        <f t="shared" si="7"/>
        <v>10920</v>
      </c>
      <c r="L24" s="11">
        <f t="shared" si="8"/>
        <v>537.5</v>
      </c>
      <c r="M24" s="4">
        <v>90.0</v>
      </c>
      <c r="N24" s="11">
        <f t="shared" si="9"/>
        <v>540</v>
      </c>
      <c r="O24" s="11">
        <f t="shared" si="10"/>
        <v>1260</v>
      </c>
      <c r="Q24" s="11">
        <f t="shared" si="11"/>
        <v>3240</v>
      </c>
      <c r="R24" s="11">
        <f t="shared" si="12"/>
        <v>1575</v>
      </c>
      <c r="S24" s="15">
        <v>37.0</v>
      </c>
      <c r="T24" s="14">
        <f t="shared" si="13"/>
        <v>185</v>
      </c>
      <c r="U24" s="14">
        <f t="shared" si="14"/>
        <v>185</v>
      </c>
      <c r="V24" s="16"/>
      <c r="W24" s="14">
        <f t="shared" si="15"/>
        <v>1110</v>
      </c>
      <c r="X24" s="14">
        <f t="shared" si="16"/>
        <v>231.25</v>
      </c>
      <c r="Y24" s="11">
        <f t="shared" ref="Y24:Z24" si="17">H24+N24+T24</f>
        <v>2545</v>
      </c>
      <c r="Z24" s="11">
        <f t="shared" si="17"/>
        <v>1875</v>
      </c>
      <c r="AA24" s="11">
        <f t="shared" si="18"/>
        <v>17613.75</v>
      </c>
    </row>
    <row r="25">
      <c r="A25" s="4">
        <v>122.0</v>
      </c>
      <c r="B25" s="11">
        <f t="shared" si="3"/>
        <v>1952</v>
      </c>
      <c r="C25" s="11">
        <f t="shared" si="4"/>
        <v>488</v>
      </c>
      <c r="E25" s="4">
        <v>255.0</v>
      </c>
      <c r="F25" s="4">
        <v>1025.0</v>
      </c>
      <c r="H25" s="11">
        <f t="shared" si="5"/>
        <v>1697</v>
      </c>
      <c r="I25" s="11">
        <f t="shared" si="6"/>
        <v>-537</v>
      </c>
      <c r="K25" s="11">
        <f t="shared" si="7"/>
        <v>10182</v>
      </c>
      <c r="L25" s="11">
        <f t="shared" si="8"/>
        <v>-671.25</v>
      </c>
      <c r="M25" s="4">
        <v>80.0</v>
      </c>
      <c r="N25" s="11">
        <f t="shared" si="9"/>
        <v>480</v>
      </c>
      <c r="O25" s="11">
        <f t="shared" si="10"/>
        <v>1120</v>
      </c>
      <c r="Q25" s="11">
        <f t="shared" si="11"/>
        <v>2880</v>
      </c>
      <c r="R25" s="11">
        <f t="shared" si="12"/>
        <v>1400</v>
      </c>
      <c r="S25" s="4">
        <v>34.0</v>
      </c>
      <c r="T25" s="14">
        <f t="shared" si="13"/>
        <v>170</v>
      </c>
      <c r="U25" s="14">
        <f t="shared" si="14"/>
        <v>170</v>
      </c>
      <c r="W25" s="14">
        <f t="shared" si="15"/>
        <v>1020</v>
      </c>
      <c r="X25" s="14">
        <f t="shared" si="16"/>
        <v>212.5</v>
      </c>
      <c r="Y25" s="11">
        <f t="shared" ref="Y25:Z25" si="19">H25+N25+T25</f>
        <v>2347</v>
      </c>
      <c r="Z25" s="11">
        <f t="shared" si="19"/>
        <v>753</v>
      </c>
      <c r="AA25" s="11">
        <f t="shared" si="18"/>
        <v>15023.25</v>
      </c>
    </row>
    <row r="26">
      <c r="A26" s="4">
        <v>103.0</v>
      </c>
      <c r="B26" s="11">
        <f t="shared" si="3"/>
        <v>1648</v>
      </c>
      <c r="C26" s="11">
        <f t="shared" si="4"/>
        <v>412</v>
      </c>
      <c r="E26" s="4">
        <v>1853.0</v>
      </c>
      <c r="F26" s="4">
        <v>0.0</v>
      </c>
      <c r="H26" s="11">
        <f t="shared" si="5"/>
        <v>-205</v>
      </c>
      <c r="I26" s="11">
        <f t="shared" si="6"/>
        <v>412</v>
      </c>
      <c r="K26" s="11">
        <f t="shared" si="7"/>
        <v>-1230</v>
      </c>
      <c r="L26" s="11">
        <f t="shared" si="8"/>
        <v>515</v>
      </c>
      <c r="M26" s="4">
        <v>104.0</v>
      </c>
      <c r="N26" s="11">
        <f t="shared" si="9"/>
        <v>624</v>
      </c>
      <c r="O26" s="11">
        <f t="shared" si="10"/>
        <v>1456</v>
      </c>
      <c r="Q26" s="11">
        <f t="shared" si="11"/>
        <v>3744</v>
      </c>
      <c r="R26" s="11">
        <f t="shared" si="12"/>
        <v>1820</v>
      </c>
      <c r="S26" s="4">
        <v>58.0</v>
      </c>
      <c r="T26" s="14">
        <f t="shared" si="13"/>
        <v>290</v>
      </c>
      <c r="U26" s="14">
        <f t="shared" si="14"/>
        <v>290</v>
      </c>
      <c r="W26" s="14">
        <f t="shared" si="15"/>
        <v>1740</v>
      </c>
      <c r="X26" s="14">
        <f t="shared" si="16"/>
        <v>362.5</v>
      </c>
      <c r="Y26" s="11">
        <f t="shared" ref="Y26:Z26" si="20">H26+N26+T26</f>
        <v>709</v>
      </c>
      <c r="Z26" s="11">
        <f t="shared" si="20"/>
        <v>2158</v>
      </c>
      <c r="AA26" s="11">
        <f t="shared" si="18"/>
        <v>6951.5</v>
      </c>
    </row>
    <row r="27">
      <c r="A27" s="4">
        <v>125.0</v>
      </c>
      <c r="B27" s="11">
        <f t="shared" si="3"/>
        <v>2000</v>
      </c>
      <c r="C27" s="11">
        <f t="shared" si="4"/>
        <v>500</v>
      </c>
      <c r="E27" s="4">
        <v>191.0</v>
      </c>
      <c r="F27" s="4">
        <v>0.0</v>
      </c>
      <c r="H27" s="11">
        <f t="shared" si="5"/>
        <v>1809</v>
      </c>
      <c r="I27" s="11">
        <f t="shared" si="6"/>
        <v>500</v>
      </c>
      <c r="K27" s="11">
        <f t="shared" si="7"/>
        <v>10854</v>
      </c>
      <c r="L27" s="11">
        <f t="shared" si="8"/>
        <v>625</v>
      </c>
      <c r="M27" s="4">
        <v>106.0</v>
      </c>
      <c r="N27" s="11">
        <f t="shared" si="9"/>
        <v>636</v>
      </c>
      <c r="O27" s="11">
        <f t="shared" si="10"/>
        <v>1484</v>
      </c>
      <c r="Q27" s="11">
        <f t="shared" si="11"/>
        <v>3816</v>
      </c>
      <c r="R27" s="11">
        <f t="shared" si="12"/>
        <v>1855</v>
      </c>
      <c r="S27" s="4">
        <v>34.0</v>
      </c>
      <c r="T27" s="14">
        <f t="shared" si="13"/>
        <v>170</v>
      </c>
      <c r="U27" s="14">
        <f t="shared" si="14"/>
        <v>170</v>
      </c>
      <c r="W27" s="14">
        <f t="shared" si="15"/>
        <v>1020</v>
      </c>
      <c r="X27" s="14">
        <f t="shared" si="16"/>
        <v>212.5</v>
      </c>
      <c r="Y27" s="11">
        <f t="shared" ref="Y27:Z27" si="21">H27+N27+T27</f>
        <v>2615</v>
      </c>
      <c r="Z27" s="11">
        <f t="shared" si="21"/>
        <v>2154</v>
      </c>
      <c r="AA27" s="11">
        <f t="shared" si="18"/>
        <v>18382.5</v>
      </c>
    </row>
    <row r="28">
      <c r="A28" s="4">
        <v>100.0</v>
      </c>
      <c r="B28" s="11">
        <f t="shared" si="3"/>
        <v>1600</v>
      </c>
      <c r="C28" s="11">
        <f t="shared" si="4"/>
        <v>400</v>
      </c>
      <c r="E28" s="4">
        <v>85.0</v>
      </c>
      <c r="F28" s="4">
        <v>346.0</v>
      </c>
      <c r="H28" s="11">
        <f t="shared" si="5"/>
        <v>1515</v>
      </c>
      <c r="I28" s="11">
        <f t="shared" si="6"/>
        <v>54</v>
      </c>
      <c r="K28" s="11">
        <f t="shared" si="7"/>
        <v>9090</v>
      </c>
      <c r="L28" s="11">
        <f t="shared" si="8"/>
        <v>67.5</v>
      </c>
      <c r="M28" s="4">
        <v>99.0</v>
      </c>
      <c r="N28" s="11">
        <f t="shared" si="9"/>
        <v>594</v>
      </c>
      <c r="O28" s="11">
        <f t="shared" si="10"/>
        <v>1386</v>
      </c>
      <c r="Q28" s="11">
        <f t="shared" si="11"/>
        <v>3564</v>
      </c>
      <c r="R28" s="11">
        <f t="shared" si="12"/>
        <v>1732.5</v>
      </c>
      <c r="S28" s="4">
        <v>50.0</v>
      </c>
      <c r="T28" s="14">
        <f t="shared" si="13"/>
        <v>250</v>
      </c>
      <c r="U28" s="14">
        <f t="shared" si="14"/>
        <v>250</v>
      </c>
      <c r="W28" s="14">
        <f t="shared" si="15"/>
        <v>1500</v>
      </c>
      <c r="X28" s="14">
        <f t="shared" si="16"/>
        <v>312.5</v>
      </c>
      <c r="Y28" s="11">
        <f t="shared" ref="Y28:Z28" si="22">H28+N28+T28</f>
        <v>2359</v>
      </c>
      <c r="Z28" s="11">
        <f t="shared" si="22"/>
        <v>1690</v>
      </c>
      <c r="AA28" s="11">
        <f t="shared" si="18"/>
        <v>16266.5</v>
      </c>
    </row>
    <row r="29">
      <c r="B29" s="11">
        <f t="shared" si="3"/>
        <v>0</v>
      </c>
      <c r="C29" s="11">
        <f t="shared" si="4"/>
        <v>0</v>
      </c>
      <c r="H29" s="11">
        <f t="shared" si="5"/>
        <v>0</v>
      </c>
      <c r="K29" s="11">
        <f t="shared" si="7"/>
        <v>0</v>
      </c>
      <c r="L29" s="11">
        <f t="shared" si="8"/>
        <v>0</v>
      </c>
      <c r="N29" s="11">
        <f t="shared" si="9"/>
        <v>0</v>
      </c>
      <c r="O29" s="11">
        <f t="shared" si="10"/>
        <v>0</v>
      </c>
      <c r="Q29" s="11">
        <f t="shared" si="11"/>
        <v>0</v>
      </c>
      <c r="R29" s="11">
        <f t="shared" si="12"/>
        <v>0</v>
      </c>
      <c r="T29" s="14">
        <f t="shared" si="13"/>
        <v>0</v>
      </c>
      <c r="U29" s="14">
        <f t="shared" si="14"/>
        <v>0</v>
      </c>
      <c r="W29" s="14">
        <f t="shared" si="15"/>
        <v>0</v>
      </c>
      <c r="X29" s="14">
        <f t="shared" si="16"/>
        <v>0</v>
      </c>
      <c r="Y29" s="11">
        <f t="shared" ref="Y29:Z29" si="23">H29+N29+T29</f>
        <v>0</v>
      </c>
      <c r="Z29" s="11">
        <f t="shared" si="23"/>
        <v>0</v>
      </c>
      <c r="AA29" s="11">
        <f t="shared" si="18"/>
        <v>0</v>
      </c>
    </row>
    <row r="30">
      <c r="K30" s="11">
        <f t="shared" si="7"/>
        <v>0</v>
      </c>
      <c r="L30" s="11">
        <f t="shared" si="8"/>
        <v>0</v>
      </c>
      <c r="N30" s="11">
        <f t="shared" si="9"/>
        <v>0</v>
      </c>
      <c r="O30" s="11">
        <f t="shared" si="10"/>
        <v>0</v>
      </c>
      <c r="Q30" s="11">
        <f t="shared" si="11"/>
        <v>0</v>
      </c>
      <c r="R30" s="11">
        <f t="shared" si="12"/>
        <v>0</v>
      </c>
      <c r="T30" s="14">
        <f t="shared" si="13"/>
        <v>0</v>
      </c>
      <c r="U30" s="14">
        <f t="shared" si="14"/>
        <v>0</v>
      </c>
      <c r="W30" s="14">
        <f t="shared" si="15"/>
        <v>0</v>
      </c>
      <c r="X30" s="14">
        <f t="shared" si="16"/>
        <v>0</v>
      </c>
      <c r="Y30" s="11">
        <f t="shared" ref="Y30:Z30" si="24">H30+N30+T30</f>
        <v>0</v>
      </c>
      <c r="Z30" s="11">
        <f t="shared" si="24"/>
        <v>0</v>
      </c>
      <c r="AA30" s="11">
        <f t="shared" si="18"/>
        <v>0</v>
      </c>
    </row>
    <row r="31">
      <c r="K31" s="11">
        <f t="shared" si="7"/>
        <v>0</v>
      </c>
      <c r="L31" s="11">
        <f t="shared" si="8"/>
        <v>0</v>
      </c>
      <c r="N31" s="11">
        <f t="shared" si="9"/>
        <v>0</v>
      </c>
      <c r="O31" s="11">
        <f t="shared" si="10"/>
        <v>0</v>
      </c>
      <c r="Q31" s="11">
        <f t="shared" si="11"/>
        <v>0</v>
      </c>
      <c r="R31" s="11">
        <f t="shared" si="12"/>
        <v>0</v>
      </c>
      <c r="T31" s="14">
        <f t="shared" si="13"/>
        <v>0</v>
      </c>
      <c r="U31" s="14">
        <f t="shared" si="14"/>
        <v>0</v>
      </c>
      <c r="W31" s="14">
        <f t="shared" si="15"/>
        <v>0</v>
      </c>
      <c r="X31" s="14">
        <f t="shared" si="16"/>
        <v>0</v>
      </c>
      <c r="Y31" s="11">
        <f t="shared" ref="Y31:Z31" si="25">H31+N31+T31</f>
        <v>0</v>
      </c>
      <c r="Z31" s="11">
        <f t="shared" si="25"/>
        <v>0</v>
      </c>
      <c r="AA31" s="11">
        <f t="shared" si="18"/>
        <v>0</v>
      </c>
    </row>
    <row r="32">
      <c r="K32" s="11">
        <f t="shared" si="7"/>
        <v>0</v>
      </c>
      <c r="L32" s="11">
        <f t="shared" si="8"/>
        <v>0</v>
      </c>
      <c r="N32" s="11">
        <f t="shared" si="9"/>
        <v>0</v>
      </c>
      <c r="O32" s="11">
        <f t="shared" si="10"/>
        <v>0</v>
      </c>
      <c r="Q32" s="11">
        <f t="shared" si="11"/>
        <v>0</v>
      </c>
      <c r="R32" s="11">
        <f t="shared" si="12"/>
        <v>0</v>
      </c>
      <c r="T32" s="14">
        <f t="shared" si="13"/>
        <v>0</v>
      </c>
      <c r="W32" s="14">
        <f t="shared" si="15"/>
        <v>0</v>
      </c>
      <c r="X32" s="14">
        <f t="shared" si="16"/>
        <v>0</v>
      </c>
      <c r="Y32" s="11">
        <f t="shared" ref="Y32:Z32" si="26">H32+N32+T32</f>
        <v>0</v>
      </c>
      <c r="Z32" s="11">
        <f t="shared" si="26"/>
        <v>0</v>
      </c>
      <c r="AA32" s="11">
        <f t="shared" si="18"/>
        <v>0</v>
      </c>
    </row>
    <row r="33">
      <c r="K33" s="11">
        <f t="shared" si="7"/>
        <v>0</v>
      </c>
      <c r="N33" s="11">
        <f t="shared" si="9"/>
        <v>0</v>
      </c>
      <c r="O33" s="11">
        <f t="shared" si="10"/>
        <v>0</v>
      </c>
      <c r="Q33" s="11">
        <f t="shared" si="11"/>
        <v>0</v>
      </c>
      <c r="R33" s="11">
        <f t="shared" si="12"/>
        <v>0</v>
      </c>
      <c r="T33" s="14">
        <f t="shared" si="13"/>
        <v>0</v>
      </c>
      <c r="W33" s="14">
        <f t="shared" si="15"/>
        <v>0</v>
      </c>
      <c r="X33" s="14">
        <f t="shared" si="16"/>
        <v>0</v>
      </c>
      <c r="Y33" s="11">
        <f t="shared" ref="Y33:Z33" si="27">H33+N33+T33</f>
        <v>0</v>
      </c>
      <c r="Z33" s="11">
        <f t="shared" si="27"/>
        <v>0</v>
      </c>
    </row>
    <row r="34">
      <c r="N34" s="11">
        <f t="shared" si="9"/>
        <v>0</v>
      </c>
      <c r="O34" s="11">
        <f t="shared" si="10"/>
        <v>0</v>
      </c>
      <c r="Q34" s="11">
        <f t="shared" si="11"/>
        <v>0</v>
      </c>
      <c r="T34" s="14">
        <f t="shared" si="13"/>
        <v>0</v>
      </c>
      <c r="W34" s="14">
        <f t="shared" si="15"/>
        <v>0</v>
      </c>
      <c r="Z34" s="11">
        <f>I34+O34+U34</f>
        <v>0</v>
      </c>
    </row>
    <row r="35">
      <c r="O35" s="11">
        <f t="shared" si="10"/>
        <v>0</v>
      </c>
      <c r="W35" s="14">
        <f t="shared" si="15"/>
        <v>0</v>
      </c>
    </row>
    <row r="44">
      <c r="A44" s="4">
        <v>16.0</v>
      </c>
      <c r="B44" s="4">
        <v>240.0</v>
      </c>
      <c r="C44" s="4">
        <v>103.0</v>
      </c>
      <c r="D44" s="11">
        <f t="shared" ref="D44:D46" si="28">(B44+A44)*C44</f>
        <v>26368</v>
      </c>
    </row>
    <row r="45">
      <c r="A45" s="4">
        <v>20.0</v>
      </c>
      <c r="B45" s="4">
        <v>190.0</v>
      </c>
      <c r="C45" s="4">
        <v>104.0</v>
      </c>
      <c r="D45" s="11">
        <f t="shared" si="28"/>
        <v>21840</v>
      </c>
    </row>
    <row r="46">
      <c r="A46" s="4">
        <v>0.0</v>
      </c>
      <c r="B46" s="4">
        <v>169.0</v>
      </c>
      <c r="C46" s="4">
        <v>58.0</v>
      </c>
      <c r="D46" s="11">
        <f t="shared" si="28"/>
        <v>9802</v>
      </c>
    </row>
    <row r="47">
      <c r="D47" s="11">
        <f>SUM(D44:D46)</f>
        <v>58010</v>
      </c>
      <c r="F47" s="11">
        <f>D47-56860</f>
        <v>1150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20.63"/>
  </cols>
  <sheetData>
    <row r="1">
      <c r="A1" s="4" t="s">
        <v>249</v>
      </c>
      <c r="D1" s="4" t="s">
        <v>250</v>
      </c>
    </row>
    <row r="2">
      <c r="A2" s="4" t="s">
        <v>132</v>
      </c>
      <c r="B2" s="4">
        <v>6527.0</v>
      </c>
      <c r="D2" s="4" t="s">
        <v>251</v>
      </c>
      <c r="E2" s="4">
        <v>10626.0</v>
      </c>
    </row>
    <row r="3">
      <c r="A3" s="4" t="s">
        <v>252</v>
      </c>
      <c r="B3" s="4">
        <v>37820.0</v>
      </c>
      <c r="D3" s="4" t="s">
        <v>253</v>
      </c>
      <c r="E3" s="4">
        <v>2000.0</v>
      </c>
    </row>
    <row r="4">
      <c r="A4" s="4" t="s">
        <v>254</v>
      </c>
      <c r="B4" s="4">
        <v>0.0</v>
      </c>
      <c r="D4" s="4" t="s">
        <v>255</v>
      </c>
      <c r="E4" s="4">
        <v>0.0</v>
      </c>
    </row>
    <row r="5">
      <c r="A5" s="4" t="s">
        <v>145</v>
      </c>
      <c r="B5" s="4">
        <v>0.0</v>
      </c>
      <c r="D5" s="4" t="s">
        <v>256</v>
      </c>
      <c r="E5" s="4">
        <v>12813.0</v>
      </c>
    </row>
    <row r="6">
      <c r="A6" s="4" t="s">
        <v>146</v>
      </c>
      <c r="B6" s="4">
        <v>0.0</v>
      </c>
      <c r="D6" s="4" t="s">
        <v>257</v>
      </c>
      <c r="E6" s="4">
        <v>5200.0</v>
      </c>
    </row>
    <row r="7">
      <c r="A7" s="4" t="s">
        <v>258</v>
      </c>
      <c r="B7" s="4">
        <v>0.0</v>
      </c>
      <c r="D7" s="4" t="s">
        <v>259</v>
      </c>
      <c r="E7" s="4">
        <v>1500.0</v>
      </c>
    </row>
    <row r="8">
      <c r="A8" s="4" t="s">
        <v>260</v>
      </c>
      <c r="B8" s="4">
        <v>0.0</v>
      </c>
      <c r="D8" s="4" t="s">
        <v>116</v>
      </c>
      <c r="E8" s="4">
        <v>2000.0</v>
      </c>
    </row>
    <row r="9">
      <c r="A9" s="4" t="s">
        <v>261</v>
      </c>
      <c r="B9" s="4">
        <v>0.0</v>
      </c>
      <c r="D9" s="4" t="s">
        <v>262</v>
      </c>
      <c r="E9" s="4">
        <v>0.0</v>
      </c>
    </row>
    <row r="10">
      <c r="A10" s="4" t="s">
        <v>263</v>
      </c>
      <c r="B10" s="4">
        <v>160.0</v>
      </c>
      <c r="D10" s="4" t="s">
        <v>264</v>
      </c>
      <c r="E10" s="4">
        <v>4000.0</v>
      </c>
    </row>
    <row r="11">
      <c r="A11" s="4" t="s">
        <v>265</v>
      </c>
      <c r="B11" s="4">
        <v>0.0</v>
      </c>
      <c r="D11" s="4" t="s">
        <v>121</v>
      </c>
      <c r="E11" s="4">
        <v>772.0</v>
      </c>
      <c r="H11" s="4"/>
    </row>
    <row r="12">
      <c r="A12" s="4" t="s">
        <v>266</v>
      </c>
      <c r="B12" s="11">
        <f>SUM(B2:B11)</f>
        <v>44507</v>
      </c>
      <c r="D12" s="4" t="s">
        <v>267</v>
      </c>
      <c r="E12" s="4">
        <v>0.0</v>
      </c>
    </row>
    <row r="13">
      <c r="D13" s="4" t="s">
        <v>266</v>
      </c>
      <c r="E13" s="11">
        <f>SUM(E2:E12)</f>
        <v>38911</v>
      </c>
    </row>
    <row r="14">
      <c r="A14" s="4" t="s">
        <v>133</v>
      </c>
    </row>
    <row r="15">
      <c r="A15" s="11">
        <f>B12-E13</f>
        <v>5596</v>
      </c>
    </row>
    <row r="25">
      <c r="A25" s="4" t="s">
        <v>132</v>
      </c>
      <c r="B25" s="4" t="s">
        <v>268</v>
      </c>
      <c r="C25" s="4" t="s">
        <v>269</v>
      </c>
      <c r="D25" s="4" t="s">
        <v>270</v>
      </c>
    </row>
    <row r="26">
      <c r="A26" s="4">
        <v>15134.0</v>
      </c>
      <c r="B26" s="4">
        <v>27559.0</v>
      </c>
      <c r="C26" s="11">
        <f>A26+B26</f>
        <v>42693</v>
      </c>
      <c r="E26" s="4" t="s">
        <v>271</v>
      </c>
      <c r="F26" s="4" t="s">
        <v>155</v>
      </c>
      <c r="G26" s="4" t="s">
        <v>272</v>
      </c>
      <c r="H26" s="4" t="s">
        <v>104</v>
      </c>
      <c r="I26" s="4" t="s">
        <v>113</v>
      </c>
      <c r="J26" s="4" t="s">
        <v>273</v>
      </c>
      <c r="K26" s="4" t="s">
        <v>274</v>
      </c>
      <c r="L26" s="4" t="s">
        <v>275</v>
      </c>
      <c r="M26" s="4" t="s">
        <v>276</v>
      </c>
      <c r="N26" s="4" t="s">
        <v>266</v>
      </c>
    </row>
    <row r="27">
      <c r="E27" s="4">
        <v>10625.0</v>
      </c>
      <c r="F27" s="4">
        <v>11250.0</v>
      </c>
      <c r="G27" s="4">
        <v>2000.0</v>
      </c>
      <c r="H27" s="4">
        <v>3500.0</v>
      </c>
      <c r="I27" s="4">
        <v>800.0</v>
      </c>
      <c r="J27" s="4">
        <v>100.0</v>
      </c>
      <c r="K27" s="4">
        <v>2500.0</v>
      </c>
      <c r="L27" s="4">
        <v>10.0</v>
      </c>
      <c r="M27" s="4">
        <v>23.0</v>
      </c>
      <c r="N27" s="11">
        <f>SUM(E27:M27)</f>
        <v>30808</v>
      </c>
    </row>
    <row r="28">
      <c r="C28" s="4" t="s">
        <v>277</v>
      </c>
    </row>
    <row r="30">
      <c r="A30" s="4" t="s">
        <v>278</v>
      </c>
    </row>
    <row r="31">
      <c r="A31" s="11">
        <f>C26-N27</f>
        <v>11885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  <col customWidth="1" min="5" max="5" width="18.13"/>
    <col customWidth="1" min="7" max="7" width="14.13"/>
  </cols>
  <sheetData>
    <row r="1">
      <c r="A1" s="4" t="s">
        <v>132</v>
      </c>
      <c r="B1" s="4" t="s">
        <v>268</v>
      </c>
      <c r="C1" s="4" t="s">
        <v>269</v>
      </c>
      <c r="D1" s="4" t="s">
        <v>270</v>
      </c>
    </row>
    <row r="2">
      <c r="A2" s="4">
        <v>15134.0</v>
      </c>
      <c r="B2" s="4">
        <v>27559.0</v>
      </c>
      <c r="C2" s="11">
        <f>A2+B2</f>
        <v>42693</v>
      </c>
      <c r="E2" s="4" t="s">
        <v>271</v>
      </c>
      <c r="F2" s="4" t="s">
        <v>155</v>
      </c>
      <c r="H2" s="4" t="s">
        <v>104</v>
      </c>
      <c r="I2" s="4" t="s">
        <v>113</v>
      </c>
      <c r="J2" s="4" t="s">
        <v>273</v>
      </c>
      <c r="K2" s="4" t="s">
        <v>274</v>
      </c>
      <c r="L2" s="4" t="s">
        <v>275</v>
      </c>
      <c r="M2" s="4" t="s">
        <v>276</v>
      </c>
      <c r="N2" s="4" t="s">
        <v>266</v>
      </c>
    </row>
    <row r="3">
      <c r="E3" s="4">
        <v>16125.0</v>
      </c>
      <c r="F3" s="4">
        <v>11250.0</v>
      </c>
      <c r="H3" s="4">
        <v>3500.0</v>
      </c>
      <c r="I3" s="4">
        <v>800.0</v>
      </c>
      <c r="J3" s="4">
        <v>100.0</v>
      </c>
      <c r="K3" s="4">
        <v>2500.0</v>
      </c>
      <c r="L3" s="4">
        <v>10.0</v>
      </c>
      <c r="M3" s="4">
        <v>23.0</v>
      </c>
      <c r="N3" s="11">
        <f>SUM(E3:M3)</f>
        <v>34308</v>
      </c>
    </row>
    <row r="4">
      <c r="C4" s="4" t="s">
        <v>277</v>
      </c>
    </row>
    <row r="6">
      <c r="A6" s="4" t="s">
        <v>278</v>
      </c>
    </row>
    <row r="7">
      <c r="A7" s="11">
        <f>C2-N3</f>
        <v>8385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20.63"/>
  </cols>
  <sheetData>
    <row r="1">
      <c r="A1" s="4" t="s">
        <v>249</v>
      </c>
      <c r="D1" s="4" t="s">
        <v>250</v>
      </c>
    </row>
    <row r="2">
      <c r="A2" s="4" t="s">
        <v>252</v>
      </c>
      <c r="B2" s="4">
        <v>27559.0</v>
      </c>
      <c r="D2" s="4" t="s">
        <v>251</v>
      </c>
      <c r="E2" s="4">
        <v>16125.0</v>
      </c>
    </row>
    <row r="3">
      <c r="A3" s="4" t="s">
        <v>254</v>
      </c>
      <c r="B3" s="4">
        <v>0.0</v>
      </c>
      <c r="D3" s="4" t="s">
        <v>253</v>
      </c>
      <c r="E3" s="4">
        <v>0.0</v>
      </c>
    </row>
    <row r="4">
      <c r="A4" s="4" t="s">
        <v>145</v>
      </c>
      <c r="B4" s="4">
        <v>0.0</v>
      </c>
      <c r="D4" s="4" t="s">
        <v>255</v>
      </c>
      <c r="E4" s="4">
        <v>0.0</v>
      </c>
    </row>
    <row r="5">
      <c r="A5" s="4" t="s">
        <v>146</v>
      </c>
      <c r="B5" s="4">
        <v>0.0</v>
      </c>
      <c r="D5" s="4" t="s">
        <v>256</v>
      </c>
      <c r="E5" s="4">
        <v>11250.0</v>
      </c>
    </row>
    <row r="6">
      <c r="A6" s="4" t="s">
        <v>258</v>
      </c>
      <c r="B6" s="4">
        <v>0.0</v>
      </c>
      <c r="D6" s="4" t="s">
        <v>257</v>
      </c>
      <c r="E6" s="4">
        <v>5100.0</v>
      </c>
    </row>
    <row r="7">
      <c r="A7" s="4" t="s">
        <v>260</v>
      </c>
      <c r="B7" s="4">
        <v>0.0</v>
      </c>
      <c r="D7" s="4" t="s">
        <v>259</v>
      </c>
      <c r="E7" s="4">
        <v>1200.0</v>
      </c>
    </row>
    <row r="8">
      <c r="A8" s="4" t="s">
        <v>261</v>
      </c>
      <c r="B8" s="4">
        <v>0.0</v>
      </c>
      <c r="D8" s="4" t="s">
        <v>116</v>
      </c>
      <c r="E8" s="4">
        <v>2000.0</v>
      </c>
    </row>
    <row r="9">
      <c r="A9" s="4" t="s">
        <v>263</v>
      </c>
      <c r="B9" s="4">
        <v>0.0</v>
      </c>
      <c r="D9" s="4" t="s">
        <v>262</v>
      </c>
      <c r="E9" s="4">
        <v>0.0</v>
      </c>
    </row>
    <row r="10">
      <c r="A10" s="4" t="s">
        <v>265</v>
      </c>
      <c r="B10" s="4">
        <v>0.0</v>
      </c>
      <c r="D10" s="4" t="s">
        <v>264</v>
      </c>
      <c r="E10" s="4">
        <v>0.0</v>
      </c>
    </row>
    <row r="11">
      <c r="A11" s="4" t="s">
        <v>266</v>
      </c>
      <c r="B11" s="11">
        <f>SUM(B2:B10)</f>
        <v>27559</v>
      </c>
      <c r="D11" s="4" t="s">
        <v>121</v>
      </c>
      <c r="E11" s="4">
        <v>772.0</v>
      </c>
    </row>
    <row r="12">
      <c r="D12" s="4" t="s">
        <v>267</v>
      </c>
      <c r="E12" s="4">
        <v>6400.0</v>
      </c>
    </row>
    <row r="13">
      <c r="D13" s="4" t="s">
        <v>266</v>
      </c>
      <c r="E13" s="11">
        <f>SUM(E2:E12)</f>
        <v>42847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20.63"/>
  </cols>
  <sheetData>
    <row r="1">
      <c r="A1" s="4" t="s">
        <v>249</v>
      </c>
      <c r="D1" s="4" t="s">
        <v>250</v>
      </c>
    </row>
    <row r="2">
      <c r="A2" s="4" t="s">
        <v>252</v>
      </c>
      <c r="B2" s="17">
        <v>57189.0</v>
      </c>
      <c r="D2" s="4" t="s">
        <v>251</v>
      </c>
      <c r="E2" s="17">
        <v>17625.0</v>
      </c>
    </row>
    <row r="3">
      <c r="A3" s="4" t="s">
        <v>254</v>
      </c>
      <c r="B3" s="4">
        <v>0.0</v>
      </c>
      <c r="D3" s="4" t="s">
        <v>253</v>
      </c>
      <c r="E3" s="4">
        <v>2500.0</v>
      </c>
    </row>
    <row r="4">
      <c r="A4" s="4" t="s">
        <v>145</v>
      </c>
      <c r="B4" s="4">
        <v>0.0</v>
      </c>
      <c r="D4" s="4" t="s">
        <v>255</v>
      </c>
      <c r="E4" s="4">
        <v>0.0</v>
      </c>
    </row>
    <row r="5">
      <c r="A5" s="4" t="s">
        <v>146</v>
      </c>
      <c r="B5" s="4">
        <v>0.0</v>
      </c>
      <c r="D5" s="4" t="s">
        <v>256</v>
      </c>
      <c r="E5" s="17">
        <v>13894.0</v>
      </c>
      <c r="F5" s="4" t="s">
        <v>279</v>
      </c>
      <c r="G5" s="4" t="s">
        <v>280</v>
      </c>
      <c r="I5" s="4" t="s">
        <v>281</v>
      </c>
      <c r="K5" s="4" t="s">
        <v>282</v>
      </c>
    </row>
    <row r="6">
      <c r="A6" s="4" t="s">
        <v>258</v>
      </c>
      <c r="B6" s="4">
        <v>0.0</v>
      </c>
      <c r="D6" s="4" t="s">
        <v>257</v>
      </c>
      <c r="E6" s="4">
        <v>7653.0</v>
      </c>
      <c r="F6" s="4" t="s">
        <v>283</v>
      </c>
      <c r="K6" s="4" t="s">
        <v>284</v>
      </c>
    </row>
    <row r="7">
      <c r="A7" s="4" t="s">
        <v>260</v>
      </c>
      <c r="B7" s="4">
        <v>0.0</v>
      </c>
      <c r="D7" s="4" t="s">
        <v>259</v>
      </c>
      <c r="E7" s="4">
        <v>1500.0</v>
      </c>
      <c r="K7" s="4" t="s">
        <v>285</v>
      </c>
    </row>
    <row r="8">
      <c r="A8" s="4" t="s">
        <v>261</v>
      </c>
      <c r="B8" s="4">
        <v>6400.0</v>
      </c>
      <c r="D8" s="4" t="s">
        <v>116</v>
      </c>
      <c r="E8" s="4">
        <v>2000.0</v>
      </c>
      <c r="K8" s="4" t="s">
        <v>286</v>
      </c>
    </row>
    <row r="9">
      <c r="A9" s="4" t="s">
        <v>263</v>
      </c>
      <c r="B9" s="4">
        <v>128.0</v>
      </c>
      <c r="D9" s="4" t="s">
        <v>262</v>
      </c>
      <c r="E9" s="4">
        <v>0.0</v>
      </c>
    </row>
    <row r="10">
      <c r="A10" s="4" t="s">
        <v>265</v>
      </c>
      <c r="B10" s="4">
        <v>0.0</v>
      </c>
      <c r="D10" s="4" t="s">
        <v>264</v>
      </c>
      <c r="E10" s="4">
        <v>4020.0</v>
      </c>
      <c r="F10" s="18" t="s">
        <v>287</v>
      </c>
    </row>
    <row r="11">
      <c r="A11" s="4" t="s">
        <v>266</v>
      </c>
      <c r="B11" s="11">
        <f>SUM(B2:B10)</f>
        <v>63717</v>
      </c>
      <c r="D11" s="4" t="s">
        <v>121</v>
      </c>
      <c r="E11" s="4">
        <v>364.0</v>
      </c>
      <c r="F11" s="4" t="s">
        <v>288</v>
      </c>
    </row>
    <row r="12">
      <c r="D12" s="4" t="s">
        <v>267</v>
      </c>
      <c r="E12" s="4">
        <v>4400.0</v>
      </c>
      <c r="F12" s="4" t="s">
        <v>289</v>
      </c>
    </row>
    <row r="13">
      <c r="A13" s="4" t="s">
        <v>290</v>
      </c>
      <c r="D13" s="4" t="s">
        <v>266</v>
      </c>
      <c r="E13" s="11">
        <f>SUM(E2:E12)</f>
        <v>53956</v>
      </c>
    </row>
    <row r="14">
      <c r="A14" s="11">
        <f>B11-E13+127</f>
        <v>9888</v>
      </c>
    </row>
  </sheetData>
  <mergeCells count="4">
    <mergeCell ref="K5:AX5"/>
    <mergeCell ref="K6:AX6"/>
    <mergeCell ref="K7:AX7"/>
    <mergeCell ref="K8:AX8"/>
  </mergeCells>
  <hyperlinks>
    <hyperlink r:id="rId1" ref="B2"/>
    <hyperlink r:id="rId2" ref="E2"/>
    <hyperlink r:id="rId3" ref="E5"/>
    <hyperlink r:id="rId4" ref="F10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31.75"/>
    <col customWidth="1" min="6" max="6" width="19.88"/>
  </cols>
  <sheetData>
    <row r="1">
      <c r="A1" s="4" t="s">
        <v>249</v>
      </c>
      <c r="B1" s="4" t="s">
        <v>131</v>
      </c>
      <c r="D1" s="4" t="s">
        <v>250</v>
      </c>
    </row>
    <row r="2">
      <c r="A2" s="4" t="s">
        <v>252</v>
      </c>
      <c r="B2" s="19">
        <v>43450.0</v>
      </c>
      <c r="D2" s="4" t="s">
        <v>251</v>
      </c>
      <c r="E2" s="4">
        <v>22238.0</v>
      </c>
      <c r="F2" s="4" t="s">
        <v>291</v>
      </c>
    </row>
    <row r="3">
      <c r="A3" s="4" t="s">
        <v>254</v>
      </c>
      <c r="B3" s="4">
        <v>0.0</v>
      </c>
      <c r="D3" s="4" t="s">
        <v>253</v>
      </c>
      <c r="E3" s="4">
        <v>2000.0</v>
      </c>
      <c r="F3" s="4" t="s">
        <v>292</v>
      </c>
    </row>
    <row r="4">
      <c r="A4" s="4" t="s">
        <v>145</v>
      </c>
      <c r="B4" s="4">
        <v>0.0</v>
      </c>
      <c r="D4" s="4" t="s">
        <v>255</v>
      </c>
      <c r="E4" s="4">
        <v>0.0</v>
      </c>
      <c r="F4" s="4" t="s">
        <v>293</v>
      </c>
      <c r="G4" s="4" t="s">
        <v>294</v>
      </c>
      <c r="H4" s="4" t="s">
        <v>111</v>
      </c>
      <c r="I4" s="4" t="s">
        <v>115</v>
      </c>
      <c r="J4" s="4" t="s">
        <v>295</v>
      </c>
    </row>
    <row r="5">
      <c r="A5" s="4" t="s">
        <v>146</v>
      </c>
      <c r="B5" s="4">
        <v>0.0</v>
      </c>
      <c r="D5" s="4" t="s">
        <v>256</v>
      </c>
      <c r="E5" s="19">
        <f>SUM(F5:J5)</f>
        <v>13770</v>
      </c>
      <c r="F5" s="4">
        <v>11275.0</v>
      </c>
      <c r="G5" s="4">
        <v>625.0</v>
      </c>
      <c r="H5" s="4">
        <v>375.0</v>
      </c>
      <c r="I5" s="4">
        <v>1000.0</v>
      </c>
      <c r="J5" s="4">
        <f>(K18*750+K18*7500)/1000</f>
        <v>495</v>
      </c>
    </row>
    <row r="6">
      <c r="A6" s="4" t="s">
        <v>258</v>
      </c>
      <c r="B6" s="4">
        <v>0.0</v>
      </c>
      <c r="D6" s="4" t="s">
        <v>296</v>
      </c>
      <c r="E6" s="4">
        <f>SUM(F6:H6)</f>
        <v>6920</v>
      </c>
      <c r="F6" s="4">
        <f>I18*J18</f>
        <v>4720</v>
      </c>
      <c r="G6" s="4">
        <v>200.0</v>
      </c>
      <c r="H6" s="4">
        <v>2000.0</v>
      </c>
    </row>
    <row r="7">
      <c r="A7" s="4" t="s">
        <v>260</v>
      </c>
      <c r="B7" s="4">
        <v>0.0</v>
      </c>
      <c r="D7" s="4" t="s">
        <v>259</v>
      </c>
      <c r="E7" s="4">
        <f>SUM(F7:G7)</f>
        <v>1500</v>
      </c>
      <c r="F7" s="4">
        <v>500.0</v>
      </c>
      <c r="G7" s="4">
        <v>1000.0</v>
      </c>
      <c r="H7" s="4" t="s">
        <v>292</v>
      </c>
    </row>
    <row r="8">
      <c r="A8" s="4" t="s">
        <v>261</v>
      </c>
      <c r="B8" s="4">
        <v>13200.0</v>
      </c>
      <c r="D8" s="4" t="s">
        <v>116</v>
      </c>
      <c r="E8" s="4">
        <v>2000.0</v>
      </c>
      <c r="F8" s="4" t="s">
        <v>297</v>
      </c>
    </row>
    <row r="9">
      <c r="A9" s="4" t="s">
        <v>263</v>
      </c>
      <c r="B9" s="11">
        <f>0.8*0.025*B8</f>
        <v>264</v>
      </c>
      <c r="D9" s="4" t="s">
        <v>262</v>
      </c>
      <c r="E9" s="4">
        <v>0.0</v>
      </c>
      <c r="F9" s="4" t="s">
        <v>298</v>
      </c>
      <c r="G9" s="4" t="s">
        <v>299</v>
      </c>
      <c r="H9" s="4" t="s">
        <v>300</v>
      </c>
      <c r="I9" s="4" t="s">
        <v>29</v>
      </c>
    </row>
    <row r="10">
      <c r="A10" s="4" t="s">
        <v>265</v>
      </c>
      <c r="B10" s="4">
        <v>0.0</v>
      </c>
      <c r="D10" s="4" t="s">
        <v>264</v>
      </c>
      <c r="E10" s="4">
        <f>SUM(F10:I10)</f>
        <v>3530</v>
      </c>
      <c r="F10" s="4">
        <v>2000.0</v>
      </c>
      <c r="G10" s="4">
        <v>20.0</v>
      </c>
      <c r="H10" s="4">
        <v>1500.0</v>
      </c>
      <c r="I10" s="4">
        <v>10.0</v>
      </c>
    </row>
    <row r="11">
      <c r="A11" s="4" t="s">
        <v>266</v>
      </c>
      <c r="B11" s="11">
        <f>SUM(B2:B10)</f>
        <v>56914</v>
      </c>
      <c r="D11" s="4" t="s">
        <v>121</v>
      </c>
      <c r="E11" s="4">
        <f>F11*0.33</f>
        <v>2012.01</v>
      </c>
      <c r="F11" s="4">
        <v>6097.0</v>
      </c>
      <c r="G11" s="4" t="s">
        <v>301</v>
      </c>
    </row>
    <row r="12">
      <c r="D12" s="4" t="s">
        <v>267</v>
      </c>
      <c r="E12" s="4">
        <v>2800.0</v>
      </c>
      <c r="F12" s="4">
        <v>13355.0</v>
      </c>
      <c r="G12" s="11">
        <f>ROUNDDOWN(F12,-2)</f>
        <v>13300</v>
      </c>
    </row>
    <row r="13">
      <c r="A13" s="4" t="s">
        <v>302</v>
      </c>
      <c r="D13" s="4" t="s">
        <v>266</v>
      </c>
      <c r="E13" s="11">
        <f>SUM(E2:E12)</f>
        <v>56770.01</v>
      </c>
      <c r="F13" s="4" t="s">
        <v>303</v>
      </c>
    </row>
    <row r="14">
      <c r="A14" s="11">
        <f>B11-E13</f>
        <v>143.99</v>
      </c>
    </row>
    <row r="17">
      <c r="F17" s="4" t="s">
        <v>106</v>
      </c>
      <c r="I17" s="4" t="s">
        <v>304</v>
      </c>
      <c r="J17" s="4" t="s">
        <v>305</v>
      </c>
      <c r="K17" s="4" t="s">
        <v>306</v>
      </c>
    </row>
    <row r="18">
      <c r="F18" s="4" t="s">
        <v>307</v>
      </c>
      <c r="I18" s="4">
        <v>236.0</v>
      </c>
      <c r="J18" s="4">
        <v>20.0</v>
      </c>
      <c r="K18" s="4">
        <v>60.0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24.5"/>
  </cols>
  <sheetData>
    <row r="1">
      <c r="A1" s="4" t="s">
        <v>249</v>
      </c>
      <c r="B1" s="4" t="s">
        <v>131</v>
      </c>
      <c r="D1" s="4" t="s">
        <v>250</v>
      </c>
    </row>
    <row r="2">
      <c r="A2" s="4" t="s">
        <v>252</v>
      </c>
      <c r="B2" s="4">
        <v>37198.0</v>
      </c>
      <c r="D2" s="4" t="s">
        <v>251</v>
      </c>
      <c r="E2" s="4">
        <v>7451.0</v>
      </c>
      <c r="F2" s="4" t="s">
        <v>291</v>
      </c>
    </row>
    <row r="3">
      <c r="A3" s="4" t="s">
        <v>254</v>
      </c>
      <c r="B3" s="4">
        <v>800.0</v>
      </c>
      <c r="D3" s="4" t="s">
        <v>253</v>
      </c>
      <c r="E3" s="4">
        <v>2500.0</v>
      </c>
      <c r="F3" s="4" t="s">
        <v>292</v>
      </c>
    </row>
    <row r="4">
      <c r="A4" s="4" t="s">
        <v>145</v>
      </c>
      <c r="B4" s="4">
        <v>0.0</v>
      </c>
      <c r="D4" s="4" t="s">
        <v>255</v>
      </c>
      <c r="E4" s="4">
        <v>0.0</v>
      </c>
      <c r="F4" s="4" t="s">
        <v>293</v>
      </c>
      <c r="G4" s="4" t="s">
        <v>294</v>
      </c>
      <c r="H4" s="4" t="s">
        <v>111</v>
      </c>
      <c r="I4" s="4" t="s">
        <v>115</v>
      </c>
    </row>
    <row r="5">
      <c r="A5" s="4" t="s">
        <v>146</v>
      </c>
      <c r="B5" s="4">
        <v>0.0</v>
      </c>
      <c r="D5" s="4" t="s">
        <v>256</v>
      </c>
      <c r="E5" s="19">
        <f>SUM(F5:J5)</f>
        <v>14726</v>
      </c>
      <c r="F5" s="4">
        <v>12726.0</v>
      </c>
      <c r="G5" s="4">
        <v>625.0</v>
      </c>
      <c r="H5" s="4">
        <v>375.0</v>
      </c>
      <c r="I5" s="4">
        <v>1000.0</v>
      </c>
      <c r="J5" s="4" t="s">
        <v>308</v>
      </c>
    </row>
    <row r="6">
      <c r="A6" s="4" t="s">
        <v>258</v>
      </c>
      <c r="B6" s="4">
        <v>0.0</v>
      </c>
      <c r="D6" s="4" t="s">
        <v>296</v>
      </c>
      <c r="E6" s="4">
        <f>SUM(F6:H6)</f>
        <v>7500</v>
      </c>
      <c r="F6" s="4">
        <f>I18*J18</f>
        <v>5300</v>
      </c>
      <c r="G6" s="4">
        <v>200.0</v>
      </c>
      <c r="H6" s="4">
        <v>2000.0</v>
      </c>
    </row>
    <row r="7">
      <c r="A7" s="4" t="s">
        <v>260</v>
      </c>
      <c r="B7" s="4">
        <v>0.0</v>
      </c>
      <c r="D7" s="4" t="s">
        <v>259</v>
      </c>
      <c r="E7" s="4">
        <f>SUM(F7:G7)</f>
        <v>1700</v>
      </c>
      <c r="F7" s="4">
        <v>500.0</v>
      </c>
      <c r="G7" s="4">
        <v>1200.0</v>
      </c>
      <c r="H7" s="4" t="s">
        <v>292</v>
      </c>
    </row>
    <row r="8">
      <c r="A8" s="4" t="s">
        <v>261</v>
      </c>
      <c r="B8" s="4">
        <v>2600.0</v>
      </c>
      <c r="D8" s="4" t="s">
        <v>116</v>
      </c>
      <c r="E8" s="4">
        <v>2000.0</v>
      </c>
      <c r="F8" s="4" t="s">
        <v>297</v>
      </c>
    </row>
    <row r="9">
      <c r="A9" s="4" t="s">
        <v>263</v>
      </c>
      <c r="B9" s="11">
        <f>0.8*0.025*B8</f>
        <v>52</v>
      </c>
      <c r="D9" s="4" t="s">
        <v>262</v>
      </c>
      <c r="E9" s="4">
        <v>0.0</v>
      </c>
      <c r="F9" s="4" t="s">
        <v>298</v>
      </c>
      <c r="G9" s="4" t="s">
        <v>299</v>
      </c>
      <c r="H9" s="4" t="s">
        <v>300</v>
      </c>
      <c r="I9" s="4" t="s">
        <v>29</v>
      </c>
    </row>
    <row r="10">
      <c r="A10" s="4" t="s">
        <v>265</v>
      </c>
      <c r="B10" s="4">
        <v>0.0</v>
      </c>
      <c r="D10" s="4" t="s">
        <v>264</v>
      </c>
      <c r="E10" s="4">
        <f>SUM(F10:I10)</f>
        <v>3530</v>
      </c>
      <c r="F10" s="4">
        <v>2000.0</v>
      </c>
      <c r="G10" s="4">
        <v>20.0</v>
      </c>
      <c r="H10" s="4">
        <v>1500.0</v>
      </c>
      <c r="I10" s="4">
        <v>10.0</v>
      </c>
    </row>
    <row r="11">
      <c r="A11" s="4" t="s">
        <v>266</v>
      </c>
      <c r="B11" s="11">
        <f>SUM(B2:B10)</f>
        <v>40650</v>
      </c>
      <c r="D11" s="4" t="s">
        <v>121</v>
      </c>
      <c r="E11" s="4">
        <f>F11*0.33</f>
        <v>837.21</v>
      </c>
      <c r="F11" s="4">
        <v>2537.0</v>
      </c>
      <c r="G11" s="4" t="s">
        <v>301</v>
      </c>
    </row>
    <row r="12">
      <c r="D12" s="4" t="s">
        <v>267</v>
      </c>
      <c r="E12" s="4">
        <v>400.0</v>
      </c>
    </row>
    <row r="13">
      <c r="A13" s="4" t="s">
        <v>302</v>
      </c>
      <c r="D13" s="4" t="s">
        <v>266</v>
      </c>
      <c r="E13" s="11">
        <f>SUM(E2:E12)</f>
        <v>40644.21</v>
      </c>
      <c r="F13" s="4" t="s">
        <v>303</v>
      </c>
    </row>
    <row r="14">
      <c r="A14" s="11">
        <f>B11-E13</f>
        <v>5.79</v>
      </c>
    </row>
    <row r="17">
      <c r="D17" s="11">
        <f>42000*0.02</f>
        <v>840</v>
      </c>
      <c r="I17" s="4" t="s">
        <v>304</v>
      </c>
      <c r="J17" s="4" t="s">
        <v>305</v>
      </c>
    </row>
    <row r="18">
      <c r="I18" s="4">
        <v>265.0</v>
      </c>
      <c r="J18" s="4">
        <v>20.0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24.5"/>
  </cols>
  <sheetData>
    <row r="1">
      <c r="A1" s="4" t="s">
        <v>249</v>
      </c>
      <c r="B1" s="4" t="s">
        <v>131</v>
      </c>
      <c r="D1" s="4" t="s">
        <v>250</v>
      </c>
    </row>
    <row r="2">
      <c r="A2" s="4" t="s">
        <v>252</v>
      </c>
      <c r="B2" s="4">
        <v>38154.0</v>
      </c>
      <c r="D2" s="4" t="s">
        <v>251</v>
      </c>
      <c r="E2" s="4">
        <v>23344.0</v>
      </c>
      <c r="F2" s="4" t="s">
        <v>291</v>
      </c>
    </row>
    <row r="3">
      <c r="A3" s="4" t="s">
        <v>254</v>
      </c>
      <c r="B3" s="4">
        <v>14000.0</v>
      </c>
      <c r="D3" s="4" t="s">
        <v>253</v>
      </c>
      <c r="E3" s="4">
        <v>0.0</v>
      </c>
      <c r="F3" s="4" t="s">
        <v>292</v>
      </c>
    </row>
    <row r="4">
      <c r="A4" s="4" t="s">
        <v>145</v>
      </c>
      <c r="B4" s="4">
        <v>0.0</v>
      </c>
      <c r="D4" s="4" t="s">
        <v>255</v>
      </c>
      <c r="E4" s="4">
        <v>0.0</v>
      </c>
      <c r="F4" s="4" t="s">
        <v>293</v>
      </c>
      <c r="G4" s="4" t="s">
        <v>294</v>
      </c>
      <c r="H4" s="4" t="s">
        <v>111</v>
      </c>
      <c r="I4" s="4" t="s">
        <v>115</v>
      </c>
    </row>
    <row r="5">
      <c r="A5" s="4" t="s">
        <v>146</v>
      </c>
      <c r="B5" s="4">
        <v>0.0</v>
      </c>
      <c r="D5" s="4" t="s">
        <v>256</v>
      </c>
      <c r="E5" s="19">
        <f>SUM(F5:J5)</f>
        <v>14681</v>
      </c>
      <c r="F5" s="4">
        <v>12681.0</v>
      </c>
      <c r="G5" s="4">
        <v>625.0</v>
      </c>
      <c r="H5" s="4">
        <v>375.0</v>
      </c>
      <c r="I5" s="4">
        <v>1000.0</v>
      </c>
      <c r="J5" s="4" t="s">
        <v>308</v>
      </c>
    </row>
    <row r="6">
      <c r="A6" s="4" t="s">
        <v>258</v>
      </c>
      <c r="B6" s="4">
        <v>0.0</v>
      </c>
      <c r="D6" s="4" t="s">
        <v>296</v>
      </c>
      <c r="E6" s="4">
        <f>SUM(F6:H6)</f>
        <v>7200</v>
      </c>
      <c r="F6" s="4">
        <f>I18*J18</f>
        <v>5000</v>
      </c>
      <c r="G6" s="4">
        <v>200.0</v>
      </c>
      <c r="H6" s="4">
        <v>2000.0</v>
      </c>
    </row>
    <row r="7">
      <c r="A7" s="4" t="s">
        <v>260</v>
      </c>
      <c r="B7" s="4">
        <v>0.0</v>
      </c>
      <c r="D7" s="4" t="s">
        <v>259</v>
      </c>
      <c r="E7" s="4">
        <f>SUM(F7:G7)</f>
        <v>2700</v>
      </c>
      <c r="F7" s="4">
        <v>500.0</v>
      </c>
      <c r="G7" s="4">
        <v>2200.0</v>
      </c>
      <c r="H7" s="4" t="s">
        <v>292</v>
      </c>
    </row>
    <row r="8">
      <c r="A8" s="4" t="s">
        <v>261</v>
      </c>
      <c r="B8" s="4">
        <v>2400.0</v>
      </c>
      <c r="D8" s="4" t="s">
        <v>116</v>
      </c>
      <c r="E8" s="4">
        <v>2000.0</v>
      </c>
      <c r="F8" s="4" t="s">
        <v>297</v>
      </c>
    </row>
    <row r="9">
      <c r="A9" s="4" t="s">
        <v>263</v>
      </c>
      <c r="B9" s="11">
        <f>0.8*0.025*B8</f>
        <v>48</v>
      </c>
      <c r="D9" s="4" t="s">
        <v>262</v>
      </c>
      <c r="E9" s="4">
        <v>0.0</v>
      </c>
      <c r="F9" s="4" t="s">
        <v>298</v>
      </c>
      <c r="G9" s="4" t="s">
        <v>299</v>
      </c>
      <c r="H9" s="4" t="s">
        <v>300</v>
      </c>
    </row>
    <row r="10">
      <c r="A10" s="4" t="s">
        <v>265</v>
      </c>
      <c r="B10" s="4">
        <v>0.0</v>
      </c>
      <c r="D10" s="4" t="s">
        <v>264</v>
      </c>
      <c r="E10" s="4">
        <f>SUM(F10:I10)</f>
        <v>3520</v>
      </c>
      <c r="F10" s="4">
        <v>2000.0</v>
      </c>
      <c r="G10" s="4">
        <v>20.0</v>
      </c>
      <c r="H10" s="4">
        <v>1500.0</v>
      </c>
    </row>
    <row r="11">
      <c r="A11" s="4" t="s">
        <v>266</v>
      </c>
      <c r="B11" s="11">
        <f>SUM(B2:B10)</f>
        <v>54602</v>
      </c>
      <c r="D11" s="4" t="s">
        <v>121</v>
      </c>
      <c r="E11" s="4">
        <f>F11*0.33</f>
        <v>883.08</v>
      </c>
      <c r="F11" s="4">
        <v>2676.0</v>
      </c>
      <c r="G11" s="4" t="s">
        <v>301</v>
      </c>
    </row>
    <row r="12">
      <c r="D12" s="4" t="s">
        <v>267</v>
      </c>
      <c r="E12" s="4">
        <v>200.0</v>
      </c>
    </row>
    <row r="13">
      <c r="A13" s="4" t="s">
        <v>290</v>
      </c>
      <c r="D13" s="4" t="s">
        <v>266</v>
      </c>
      <c r="E13" s="11">
        <f>SUM(E2:E12)</f>
        <v>54528.08</v>
      </c>
      <c r="F13" s="4" t="s">
        <v>303</v>
      </c>
    </row>
    <row r="14">
      <c r="A14" s="11">
        <f>B11-E13</f>
        <v>73.92</v>
      </c>
    </row>
    <row r="16">
      <c r="E16" s="11">
        <f>SUM(E5:E15)</f>
        <v>85712.16</v>
      </c>
    </row>
    <row r="17">
      <c r="G17" s="11">
        <f>700+900+600</f>
        <v>2200</v>
      </c>
      <c r="I17" s="4" t="s">
        <v>304</v>
      </c>
      <c r="J17" s="4" t="s">
        <v>305</v>
      </c>
    </row>
    <row r="18">
      <c r="I18" s="4">
        <v>250.0</v>
      </c>
      <c r="J18" s="4">
        <v>20.0</v>
      </c>
    </row>
  </sheetData>
  <drawing r:id="rId1"/>
</worksheet>
</file>